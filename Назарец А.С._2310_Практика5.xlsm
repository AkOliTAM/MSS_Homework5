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13770" windowHeight="940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45" i="1" l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X45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X44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X43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X42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X41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X40" i="1"/>
  <c r="X46" i="1"/>
  <c r="X47" i="1" s="1"/>
  <c r="Y46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Z9" i="1"/>
  <c r="AA9" i="1" s="1"/>
  <c r="AB9" i="1" s="1"/>
  <c r="AC9" i="1" s="1"/>
  <c r="AD9" i="1" s="1"/>
  <c r="AE9" i="1" s="1"/>
  <c r="AF9" i="1" s="1"/>
  <c r="AG9" i="1" s="1"/>
  <c r="AH9" i="1" s="1"/>
  <c r="AI9" i="1" s="1"/>
  <c r="AJ9" i="1" s="1"/>
  <c r="AK9" i="1" s="1"/>
  <c r="AL9" i="1" s="1"/>
  <c r="Y9" i="1"/>
  <c r="X10" i="1"/>
  <c r="X9" i="1"/>
  <c r="AH8" i="1"/>
  <c r="AI8" i="1"/>
  <c r="AJ8" i="1"/>
  <c r="AK8" i="1"/>
  <c r="AL8" i="1"/>
  <c r="AG8" i="1"/>
  <c r="AF8" i="1"/>
  <c r="AE8" i="1"/>
  <c r="AD8" i="1"/>
  <c r="AC8" i="1"/>
  <c r="Y8" i="1"/>
  <c r="Z8" i="1"/>
  <c r="AA8" i="1"/>
  <c r="AB8" i="1"/>
  <c r="X8" i="1"/>
  <c r="AH7" i="1"/>
  <c r="AI7" i="1"/>
  <c r="AJ7" i="1"/>
  <c r="AK7" i="1"/>
  <c r="AL7" i="1"/>
  <c r="AG7" i="1"/>
  <c r="AF7" i="1"/>
  <c r="AE7" i="1"/>
  <c r="AD7" i="1"/>
  <c r="AC7" i="1"/>
  <c r="Y7" i="1"/>
  <c r="Z7" i="1"/>
  <c r="AA7" i="1"/>
  <c r="AB7" i="1"/>
  <c r="X7" i="1"/>
  <c r="AH6" i="1"/>
  <c r="AI6" i="1"/>
  <c r="AJ6" i="1"/>
  <c r="AK6" i="1"/>
  <c r="AL6" i="1"/>
  <c r="AG6" i="1"/>
  <c r="AF6" i="1"/>
  <c r="AE6" i="1"/>
  <c r="AD6" i="1"/>
  <c r="AC6" i="1"/>
  <c r="Y6" i="1"/>
  <c r="Z6" i="1"/>
  <c r="AA6" i="1"/>
  <c r="AB6" i="1"/>
  <c r="X6" i="1"/>
  <c r="AH5" i="1"/>
  <c r="AI5" i="1"/>
  <c r="AJ5" i="1"/>
  <c r="AK5" i="1"/>
  <c r="AL5" i="1"/>
  <c r="AG5" i="1"/>
  <c r="AF5" i="1"/>
  <c r="AE5" i="1"/>
  <c r="AD5" i="1"/>
  <c r="AC5" i="1"/>
  <c r="Y5" i="1"/>
  <c r="Z5" i="1"/>
  <c r="AA5" i="1"/>
  <c r="AB5" i="1"/>
  <c r="X5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X4" i="1"/>
  <c r="AH3" i="1"/>
  <c r="AI3" i="1"/>
  <c r="AJ3" i="1"/>
  <c r="AK3" i="1"/>
  <c r="AL3" i="1"/>
  <c r="AG3" i="1"/>
  <c r="AF3" i="1"/>
  <c r="AE3" i="1"/>
  <c r="AD3" i="1"/>
  <c r="AC3" i="1"/>
  <c r="Y3" i="1"/>
  <c r="Z3" i="1"/>
  <c r="AA3" i="1"/>
  <c r="AB3" i="1"/>
  <c r="X3" i="1"/>
  <c r="O64" i="1"/>
  <c r="P64" i="1"/>
  <c r="Q64" i="1"/>
  <c r="R64" i="1"/>
  <c r="S64" i="1"/>
  <c r="T64" i="1"/>
  <c r="N63" i="1"/>
  <c r="O63" i="1"/>
  <c r="P63" i="1"/>
  <c r="Q63" i="1"/>
  <c r="R63" i="1"/>
  <c r="S63" i="1"/>
  <c r="T63" i="1"/>
  <c r="M62" i="1"/>
  <c r="N62" i="1"/>
  <c r="O62" i="1"/>
  <c r="P62" i="1"/>
  <c r="Q62" i="1"/>
  <c r="R62" i="1"/>
  <c r="S62" i="1"/>
  <c r="T62" i="1"/>
  <c r="L61" i="1"/>
  <c r="M61" i="1"/>
  <c r="N61" i="1"/>
  <c r="O61" i="1"/>
  <c r="P61" i="1"/>
  <c r="Q61" i="1"/>
  <c r="R61" i="1"/>
  <c r="S61" i="1"/>
  <c r="T61" i="1"/>
  <c r="K60" i="1"/>
  <c r="L60" i="1"/>
  <c r="M60" i="1"/>
  <c r="N60" i="1"/>
  <c r="O60" i="1"/>
  <c r="P60" i="1"/>
  <c r="Q60" i="1"/>
  <c r="R60" i="1"/>
  <c r="S60" i="1"/>
  <c r="T60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F54" i="1"/>
  <c r="G65" i="1"/>
  <c r="H65" i="1" s="1"/>
  <c r="I65" i="1" s="1"/>
  <c r="J65" i="1" s="1"/>
  <c r="K65" i="1" s="1"/>
  <c r="L65" i="1" s="1"/>
  <c r="M65" i="1" s="1"/>
  <c r="N65" i="1" s="1"/>
  <c r="O65" i="1" s="1"/>
  <c r="P65" i="1" s="1"/>
  <c r="Q65" i="1" s="1"/>
  <c r="R65" i="1" s="1"/>
  <c r="S65" i="1" s="1"/>
  <c r="T65" i="1" s="1"/>
  <c r="E63" i="1"/>
  <c r="E62" i="1"/>
  <c r="E61" i="1" s="1"/>
  <c r="E60" i="1" s="1"/>
  <c r="E59" i="1" s="1"/>
  <c r="E58" i="1" s="1"/>
  <c r="E57" i="1" s="1"/>
  <c r="E56" i="1" s="1"/>
  <c r="E55" i="1" s="1"/>
  <c r="E54" i="1" s="1"/>
  <c r="J46" i="1"/>
  <c r="O51" i="1"/>
  <c r="I46" i="1"/>
  <c r="P51" i="1"/>
  <c r="Q51" i="1"/>
  <c r="R51" i="1"/>
  <c r="S51" i="1"/>
  <c r="T51" i="1"/>
  <c r="N50" i="1"/>
  <c r="M49" i="1"/>
  <c r="L48" i="1"/>
  <c r="K47" i="1"/>
  <c r="G46" i="1"/>
  <c r="H46" i="1"/>
  <c r="K41" i="1"/>
  <c r="F41" i="1"/>
  <c r="F46" i="1"/>
  <c r="L35" i="1"/>
  <c r="F43" i="1"/>
  <c r="Q46" i="1"/>
  <c r="O47" i="1"/>
  <c r="P47" i="1"/>
  <c r="Q47" i="1"/>
  <c r="R47" i="1"/>
  <c r="S47" i="1"/>
  <c r="O48" i="1"/>
  <c r="P48" i="1"/>
  <c r="Q48" i="1"/>
  <c r="R48" i="1"/>
  <c r="S48" i="1"/>
  <c r="O49" i="1"/>
  <c r="P49" i="1"/>
  <c r="Q49" i="1"/>
  <c r="R49" i="1"/>
  <c r="S49" i="1"/>
  <c r="O50" i="1"/>
  <c r="P50" i="1"/>
  <c r="Q50" i="1"/>
  <c r="R50" i="1"/>
  <c r="S50" i="1"/>
  <c r="N47" i="1"/>
  <c r="N48" i="1"/>
  <c r="N49" i="1"/>
  <c r="M47" i="1"/>
  <c r="M48" i="1"/>
  <c r="L47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K46" i="1"/>
  <c r="L46" i="1"/>
  <c r="M46" i="1"/>
  <c r="N46" i="1"/>
  <c r="O46" i="1"/>
  <c r="P46" i="1"/>
  <c r="R46" i="1"/>
  <c r="S46" i="1"/>
  <c r="H41" i="1"/>
  <c r="I41" i="1"/>
  <c r="J41" i="1"/>
  <c r="L41" i="1"/>
  <c r="M41" i="1"/>
  <c r="N41" i="1"/>
  <c r="O41" i="1"/>
  <c r="P41" i="1"/>
  <c r="Q41" i="1"/>
  <c r="R41" i="1"/>
  <c r="S41" i="1"/>
  <c r="G41" i="1"/>
  <c r="T42" i="1"/>
  <c r="T43" i="1"/>
  <c r="T44" i="1"/>
  <c r="T45" i="1"/>
  <c r="T46" i="1"/>
  <c r="T47" i="1"/>
  <c r="T48" i="1"/>
  <c r="T49" i="1"/>
  <c r="T50" i="1"/>
  <c r="T41" i="1"/>
  <c r="F42" i="1"/>
  <c r="F44" i="1"/>
  <c r="F45" i="1"/>
  <c r="G52" i="1"/>
  <c r="H52" i="1" s="1"/>
  <c r="I52" i="1" s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E50" i="1"/>
  <c r="E49" i="1"/>
  <c r="E48" i="1"/>
  <c r="E47" i="1"/>
  <c r="E46" i="1"/>
  <c r="E45" i="1"/>
  <c r="E44" i="1"/>
  <c r="E43" i="1"/>
  <c r="E42" i="1"/>
  <c r="E41" i="1"/>
  <c r="P34" i="1"/>
  <c r="Q34" i="1"/>
  <c r="R34" i="1"/>
  <c r="S34" i="1"/>
  <c r="P35" i="1"/>
  <c r="Q35" i="1"/>
  <c r="R35" i="1"/>
  <c r="S35" i="1"/>
  <c r="P36" i="1"/>
  <c r="Q36" i="1"/>
  <c r="R36" i="1"/>
  <c r="S36" i="1"/>
  <c r="P37" i="1"/>
  <c r="Q37" i="1"/>
  <c r="R37" i="1"/>
  <c r="S37" i="1"/>
  <c r="O35" i="1"/>
  <c r="O36" i="1"/>
  <c r="O37" i="1"/>
  <c r="N35" i="1"/>
  <c r="N36" i="1"/>
  <c r="M35" i="1"/>
  <c r="M34" i="1"/>
  <c r="N34" i="1"/>
  <c r="O34" i="1"/>
  <c r="L34" i="1"/>
  <c r="K33" i="1"/>
  <c r="L33" i="1"/>
  <c r="M33" i="1"/>
  <c r="N33" i="1"/>
  <c r="O33" i="1"/>
  <c r="P33" i="1"/>
  <c r="Q33" i="1"/>
  <c r="R33" i="1"/>
  <c r="S33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H29" i="1"/>
  <c r="I29" i="1"/>
  <c r="J29" i="1"/>
  <c r="K29" i="1"/>
  <c r="L29" i="1"/>
  <c r="M29" i="1"/>
  <c r="N29" i="1"/>
  <c r="O29" i="1"/>
  <c r="P29" i="1"/>
  <c r="Q29" i="1"/>
  <c r="R29" i="1"/>
  <c r="S29" i="1"/>
  <c r="P38" i="1"/>
  <c r="Q38" i="1"/>
  <c r="R38" i="1"/>
  <c r="S38" i="1"/>
  <c r="T38" i="1"/>
  <c r="O38" i="1"/>
  <c r="N37" i="1"/>
  <c r="M36" i="1"/>
  <c r="K34" i="1"/>
  <c r="J33" i="1"/>
  <c r="I33" i="1"/>
  <c r="F33" i="1"/>
  <c r="G33" i="1"/>
  <c r="H33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F30" i="1"/>
  <c r="F31" i="1"/>
  <c r="F32" i="1"/>
  <c r="F29" i="1"/>
  <c r="G29" i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G39" i="1"/>
  <c r="E37" i="1"/>
  <c r="E36" i="1"/>
  <c r="E35" i="1" s="1"/>
  <c r="E34" i="1" s="1"/>
  <c r="E33" i="1" s="1"/>
  <c r="E32" i="1" s="1"/>
  <c r="E31" i="1" s="1"/>
  <c r="E30" i="1" s="1"/>
  <c r="E29" i="1" s="1"/>
  <c r="E28" i="1" s="1"/>
  <c r="Z46" i="1" l="1"/>
  <c r="Y47" i="1"/>
  <c r="O7" i="1"/>
  <c r="P7" i="1"/>
  <c r="Q7" i="1"/>
  <c r="R7" i="1"/>
  <c r="S7" i="1"/>
  <c r="O8" i="1"/>
  <c r="P8" i="1"/>
  <c r="Q8" i="1"/>
  <c r="R8" i="1"/>
  <c r="S8" i="1"/>
  <c r="O9" i="1"/>
  <c r="P9" i="1"/>
  <c r="Q9" i="1"/>
  <c r="R9" i="1"/>
  <c r="S9" i="1"/>
  <c r="O10" i="1"/>
  <c r="P10" i="1"/>
  <c r="Q10" i="1"/>
  <c r="R10" i="1"/>
  <c r="S10" i="1"/>
  <c r="O11" i="1"/>
  <c r="P11" i="1"/>
  <c r="Q11" i="1"/>
  <c r="R11" i="1"/>
  <c r="S11" i="1"/>
  <c r="N10" i="1"/>
  <c r="N9" i="1"/>
  <c r="M9" i="1"/>
  <c r="M8" i="1"/>
  <c r="N8" i="1"/>
  <c r="L8" i="1"/>
  <c r="L7" i="1"/>
  <c r="M7" i="1"/>
  <c r="N7" i="1"/>
  <c r="K7" i="1"/>
  <c r="G4" i="1"/>
  <c r="H4" i="1"/>
  <c r="I4" i="1"/>
  <c r="J4" i="1"/>
  <c r="K4" i="1"/>
  <c r="L4" i="1"/>
  <c r="M4" i="1"/>
  <c r="N4" i="1"/>
  <c r="O4" i="1"/>
  <c r="P4" i="1"/>
  <c r="Q4" i="1"/>
  <c r="R4" i="1"/>
  <c r="S4" i="1"/>
  <c r="G5" i="1"/>
  <c r="H5" i="1"/>
  <c r="I5" i="1"/>
  <c r="J5" i="1"/>
  <c r="K5" i="1"/>
  <c r="L5" i="1"/>
  <c r="M5" i="1"/>
  <c r="N5" i="1"/>
  <c r="O5" i="1"/>
  <c r="P5" i="1"/>
  <c r="Q5" i="1"/>
  <c r="R5" i="1"/>
  <c r="S5" i="1"/>
  <c r="G6" i="1"/>
  <c r="H6" i="1"/>
  <c r="I6" i="1"/>
  <c r="J6" i="1"/>
  <c r="K6" i="1"/>
  <c r="L6" i="1"/>
  <c r="M6" i="1"/>
  <c r="N6" i="1"/>
  <c r="O6" i="1"/>
  <c r="P6" i="1"/>
  <c r="Q6" i="1"/>
  <c r="R6" i="1"/>
  <c r="S6" i="1"/>
  <c r="H3" i="1"/>
  <c r="I3" i="1"/>
  <c r="J3" i="1"/>
  <c r="K3" i="1"/>
  <c r="L3" i="1"/>
  <c r="M3" i="1"/>
  <c r="N3" i="1"/>
  <c r="O3" i="1"/>
  <c r="P3" i="1"/>
  <c r="Q3" i="1"/>
  <c r="R3" i="1"/>
  <c r="S3" i="1"/>
  <c r="G3" i="1"/>
  <c r="AA46" i="1" l="1"/>
  <c r="Z47" i="1"/>
  <c r="G26" i="1"/>
  <c r="H26" i="1" s="1"/>
  <c r="I26" i="1" s="1"/>
  <c r="J26" i="1" s="1"/>
  <c r="K26" i="1" s="1"/>
  <c r="L26" i="1" s="1"/>
  <c r="M26" i="1" s="1"/>
  <c r="N26" i="1" s="1"/>
  <c r="O26" i="1" s="1"/>
  <c r="P26" i="1" s="1"/>
  <c r="Q26" i="1" s="1"/>
  <c r="R26" i="1" s="1"/>
  <c r="S26" i="1" s="1"/>
  <c r="T26" i="1" s="1"/>
  <c r="E24" i="1"/>
  <c r="E23" i="1" s="1"/>
  <c r="E22" i="1" s="1"/>
  <c r="E21" i="1" s="1"/>
  <c r="E20" i="1" s="1"/>
  <c r="E19" i="1" s="1"/>
  <c r="E18" i="1" s="1"/>
  <c r="E17" i="1" s="1"/>
  <c r="E16" i="1" s="1"/>
  <c r="E15" i="1" s="1"/>
  <c r="B5" i="1"/>
  <c r="T11" i="1"/>
  <c r="T10" i="1" s="1"/>
  <c r="T9" i="1" s="1"/>
  <c r="T8" i="1" s="1"/>
  <c r="T7" i="1" s="1"/>
  <c r="T6" i="1" s="1"/>
  <c r="T5" i="1" s="1"/>
  <c r="T4" i="1" s="1"/>
  <c r="T3" i="1" s="1"/>
  <c r="F5" i="1"/>
  <c r="F4" i="1" s="1"/>
  <c r="F3" i="1" s="1"/>
  <c r="F2" i="1" s="1"/>
  <c r="F6" i="1"/>
  <c r="H13" i="1"/>
  <c r="I13" i="1" s="1"/>
  <c r="J13" i="1" s="1"/>
  <c r="K13" i="1" s="1"/>
  <c r="L13" i="1" s="1"/>
  <c r="M13" i="1" s="1"/>
  <c r="N13" i="1" s="1"/>
  <c r="O13" i="1" s="1"/>
  <c r="P13" i="1" s="1"/>
  <c r="Q13" i="1" s="1"/>
  <c r="R13" i="1" s="1"/>
  <c r="S13" i="1" s="1"/>
  <c r="T13" i="1" s="1"/>
  <c r="G13" i="1"/>
  <c r="E10" i="1"/>
  <c r="E9" i="1" s="1"/>
  <c r="E8" i="1" s="1"/>
  <c r="E7" i="1" s="1"/>
  <c r="E6" i="1" s="1"/>
  <c r="E5" i="1" s="1"/>
  <c r="E4" i="1" s="1"/>
  <c r="E3" i="1" s="1"/>
  <c r="E2" i="1" s="1"/>
  <c r="E11" i="1"/>
  <c r="AB46" i="1" l="1"/>
  <c r="AA47" i="1"/>
  <c r="AC46" i="1" l="1"/>
  <c r="AB47" i="1"/>
  <c r="AC47" i="1" l="1"/>
  <c r="AD46" i="1"/>
  <c r="AD47" i="1" l="1"/>
  <c r="AE46" i="1"/>
  <c r="AF46" i="1" l="1"/>
  <c r="AE47" i="1"/>
  <c r="AG46" i="1" l="1"/>
  <c r="AF47" i="1"/>
  <c r="AG47" i="1" l="1"/>
  <c r="AH46" i="1"/>
  <c r="AI46" i="1" l="1"/>
  <c r="AH47" i="1"/>
  <c r="AJ46" i="1" l="1"/>
  <c r="AI47" i="1"/>
  <c r="AK46" i="1" l="1"/>
  <c r="AJ47" i="1"/>
  <c r="AK47" i="1" l="1"/>
  <c r="AL46" i="1"/>
  <c r="AL47" i="1" s="1"/>
</calcChain>
</file>

<file path=xl/sharedStrings.xml><?xml version="1.0" encoding="utf-8"?>
<sst xmlns="http://schemas.openxmlformats.org/spreadsheetml/2006/main" count="30" uniqueCount="17">
  <si>
    <t>Кси</t>
  </si>
  <si>
    <t>dx=dy</t>
  </si>
  <si>
    <t>V_in</t>
  </si>
  <si>
    <t>V_out</t>
  </si>
  <si>
    <t>P_in</t>
  </si>
  <si>
    <t>n_iter</t>
  </si>
  <si>
    <t>N_L</t>
  </si>
  <si>
    <t>N_H</t>
  </si>
  <si>
    <t>start_Row</t>
  </si>
  <si>
    <t>start_Column</t>
  </si>
  <si>
    <t>U</t>
  </si>
  <si>
    <t>n</t>
  </si>
  <si>
    <t>Magn</t>
  </si>
  <si>
    <t>Х</t>
  </si>
  <si>
    <t>У</t>
  </si>
  <si>
    <t>Cp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</si>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</sst>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18">
    <xf numFmtId="0" fontId="0" fillId="0" borderId="0" xfId="0"/>
    <xf numFmtId="0" fontId="1" fillId="2" borderId="0" xfId="1"/>
    <xf numFmtId="0" fontId="0" fillId="0" borderId="1" xfId="0" applyBorder="1"/>
    <xf numFmtId="2" fontId="0" fillId="0" borderId="0" xfId="0" applyNumberFormat="1"/>
    <xf numFmtId="2" fontId="1" fillId="2" borderId="1" xfId="1" applyNumberFormat="1" applyBorder="1"/>
    <xf numFmtId="2" fontId="0" fillId="0" borderId="1" xfId="0" applyNumberFormat="1" applyBorder="1"/>
    <xf numFmtId="2" fontId="1" fillId="2" borderId="2" xfId="1" applyNumberFormat="1" applyBorder="1"/>
    <xf numFmtId="2" fontId="1" fillId="2" borderId="3" xfId="1" applyNumberFormat="1" applyBorder="1"/>
    <xf numFmtId="2" fontId="1" fillId="2" borderId="4" xfId="1" applyNumberFormat="1" applyBorder="1"/>
    <xf numFmtId="2" fontId="1" fillId="2" borderId="5" xfId="1" applyNumberFormat="1" applyBorder="1"/>
    <xf numFmtId="2" fontId="1" fillId="2" borderId="6" xfId="1" applyNumberFormat="1" applyBorder="1"/>
    <xf numFmtId="2" fontId="2" fillId="2" borderId="1" xfId="1" applyNumberFormat="1" applyFont="1" applyBorder="1"/>
    <xf numFmtId="2" fontId="2" fillId="0" borderId="1" xfId="0" applyNumberFormat="1" applyFont="1" applyBorder="1"/>
    <xf numFmtId="2" fontId="2" fillId="2" borderId="5" xfId="1" applyNumberFormat="1" applyFont="1" applyBorder="1"/>
    <xf numFmtId="2" fontId="2" fillId="2" borderId="3" xfId="1" applyNumberFormat="1" applyFont="1" applyBorder="1"/>
    <xf numFmtId="0" fontId="4" fillId="0" borderId="0" xfId="0" applyFont="1"/>
    <xf numFmtId="0" fontId="3" fillId="3" borderId="1" xfId="2" applyBorder="1"/>
    <xf numFmtId="0" fontId="4" fillId="0" borderId="1" xfId="0" applyFont="1" applyBorder="1"/>
  </cellXfs>
  <cellStyles count="3">
    <cellStyle name="Нейтральный" xfId="2" builtinId="28"/>
    <cellStyle name="Обычный" xfId="0" builtinId="0"/>
    <cellStyle name="Плохой" xfId="1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Нижний ряд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Лист1!$X$4:$AL$4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Лист1!$X$10:$AL$10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-0.92373130806692638</c:v>
                </c:pt>
                <c:pt idx="5">
                  <c:v>0.30864063094835731</c:v>
                </c:pt>
                <c:pt idx="6">
                  <c:v>0.58970058346487353</c:v>
                </c:pt>
                <c:pt idx="7">
                  <c:v>0.74184417109325296</c:v>
                </c:pt>
                <c:pt idx="8">
                  <c:v>0.8536322750480031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F8-493E-990D-0FC27F3EC37B}"/>
            </c:ext>
          </c:extLst>
        </c:ser>
        <c:ser>
          <c:idx val="1"/>
          <c:order val="1"/>
          <c:tx>
            <c:v>Верхний ряд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Лист1!$X$41:$AL$41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Лист1!$X$47:$AL$47</c:f>
              <c:numCache>
                <c:formatCode>0.00</c:formatCode>
                <c:ptCount val="15"/>
                <c:pt idx="0">
                  <c:v>0</c:v>
                </c:pt>
                <c:pt idx="1">
                  <c:v>2.8143790411995724E-2</c:v>
                </c:pt>
                <c:pt idx="2">
                  <c:v>6.3816183311282651E-2</c:v>
                </c:pt>
                <c:pt idx="3">
                  <c:v>0.11458769048709655</c:v>
                </c:pt>
                <c:pt idx="4">
                  <c:v>0.18568973066780017</c:v>
                </c:pt>
                <c:pt idx="5">
                  <c:v>0.27485147035389673</c:v>
                </c:pt>
                <c:pt idx="6">
                  <c:v>0.36820606542984025</c:v>
                </c:pt>
                <c:pt idx="7">
                  <c:v>0.45398914727935336</c:v>
                </c:pt>
                <c:pt idx="8">
                  <c:v>0.52678677880991021</c:v>
                </c:pt>
                <c:pt idx="9">
                  <c:v>0.5859118388206116</c:v>
                </c:pt>
                <c:pt idx="10">
                  <c:v>0.63302379823464439</c:v>
                </c:pt>
                <c:pt idx="11">
                  <c:v>0.67058625851524989</c:v>
                </c:pt>
                <c:pt idx="12">
                  <c:v>0.70112116552016235</c:v>
                </c:pt>
                <c:pt idx="13">
                  <c:v>0.72692518757830837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F8-493E-990D-0FC27F3EC37B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1444199664"/>
        <c:axId val="1444192592"/>
      </c:scatterChart>
      <c:valAx>
        <c:axId val="144419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4192592"/>
        <c:crosses val="autoZero"/>
        <c:crossBetween val="midCat"/>
      </c:valAx>
      <c:valAx>
        <c:axId val="144419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4419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585107</xdr:colOff>
      <xdr:row>11</xdr:row>
      <xdr:rowOff>97971</xdr:rowOff>
    </xdr:from>
    <xdr:to>
      <xdr:col>33</xdr:col>
      <xdr:colOff>258535</xdr:colOff>
      <xdr:row>37</xdr:row>
      <xdr:rowOff>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L65"/>
  <sheetViews>
    <sheetView tabSelected="1" zoomScale="70" zoomScaleNormal="70" workbookViewId="0">
      <selection activeCell="AK22" sqref="AK22"/>
    </sheetView>
  </sheetViews>
  <sheetFormatPr defaultRowHeight="15" x14ac:dyDescent="0.25"/>
  <cols>
    <col min="1" max="1" width="13.42578125" customWidth="1"/>
  </cols>
  <sheetData>
    <row r="1" spans="1:38" x14ac:dyDescent="0.25"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</row>
    <row r="2" spans="1:38" x14ac:dyDescent="0.25">
      <c r="A2" s="2" t="s">
        <v>1</v>
      </c>
      <c r="B2" s="2">
        <v>0.2</v>
      </c>
      <c r="D2" s="1" t="s">
        <v>0</v>
      </c>
      <c r="E2" s="3">
        <f t="shared" ref="E2:E10" si="0">E3+0.2</f>
        <v>1.9999999999999998</v>
      </c>
      <c r="F2" s="11">
        <f t="shared" ref="F2:F5" si="1">F3+$B$2*$B$4</f>
        <v>10</v>
      </c>
      <c r="G2" s="11">
        <v>10</v>
      </c>
      <c r="H2" s="11">
        <v>10</v>
      </c>
      <c r="I2" s="11">
        <v>10</v>
      </c>
      <c r="J2" s="11">
        <v>10</v>
      </c>
      <c r="K2" s="11">
        <v>10</v>
      </c>
      <c r="L2" s="11">
        <v>10</v>
      </c>
      <c r="M2" s="11">
        <v>10</v>
      </c>
      <c r="N2" s="11">
        <v>10</v>
      </c>
      <c r="O2" s="11">
        <v>10</v>
      </c>
      <c r="P2" s="11">
        <v>10</v>
      </c>
      <c r="Q2" s="11">
        <v>10</v>
      </c>
      <c r="R2" s="11">
        <v>10</v>
      </c>
      <c r="S2" s="11">
        <v>10</v>
      </c>
      <c r="T2" s="11">
        <v>10</v>
      </c>
      <c r="U2">
        <v>11</v>
      </c>
      <c r="W2" s="16">
        <v>0</v>
      </c>
      <c r="X2" s="2">
        <v>1</v>
      </c>
      <c r="Y2" s="2">
        <v>2</v>
      </c>
      <c r="Z2" s="2">
        <v>3</v>
      </c>
      <c r="AA2" s="2">
        <v>4</v>
      </c>
      <c r="AB2" s="2">
        <v>5</v>
      </c>
      <c r="AC2" s="2">
        <v>6</v>
      </c>
      <c r="AD2" s="2">
        <v>7</v>
      </c>
      <c r="AE2" s="2">
        <v>8</v>
      </c>
      <c r="AF2" s="2">
        <v>9</v>
      </c>
      <c r="AG2" s="2">
        <v>10</v>
      </c>
      <c r="AH2" s="2">
        <v>11</v>
      </c>
      <c r="AI2" s="2">
        <v>12</v>
      </c>
      <c r="AJ2" s="2">
        <v>13</v>
      </c>
      <c r="AK2" s="2">
        <v>14</v>
      </c>
      <c r="AL2" s="2">
        <v>15</v>
      </c>
    </row>
    <row r="3" spans="1:38" x14ac:dyDescent="0.25">
      <c r="E3" s="3">
        <f t="shared" si="0"/>
        <v>1.7999999999999998</v>
      </c>
      <c r="F3" s="11">
        <f t="shared" si="1"/>
        <v>8</v>
      </c>
      <c r="G3" s="12">
        <f>(G15+H16+G17+F16)/4</f>
        <v>8.0283446451390201</v>
      </c>
      <c r="H3" s="12">
        <f t="shared" ref="H3:S3" si="2">(H15+I16+H17+G16)/4</f>
        <v>8.0648681526173505</v>
      </c>
      <c r="I3" s="12">
        <f t="shared" si="2"/>
        <v>8.1180729987453777</v>
      </c>
      <c r="J3" s="12">
        <f t="shared" si="2"/>
        <v>8.195217166158649</v>
      </c>
      <c r="K3" s="12">
        <f t="shared" si="2"/>
        <v>8.2968869331178503</v>
      </c>
      <c r="L3" s="12">
        <f t="shared" si="2"/>
        <v>8.4102906749091311</v>
      </c>
      <c r="M3" s="12">
        <f t="shared" si="2"/>
        <v>8.5221490566086295</v>
      </c>
      <c r="N3" s="12">
        <f t="shared" si="2"/>
        <v>8.6241900986107414</v>
      </c>
      <c r="O3" s="12">
        <f t="shared" si="2"/>
        <v>8.7130063540493303</v>
      </c>
      <c r="P3" s="12">
        <f t="shared" si="2"/>
        <v>8.7884287858070635</v>
      </c>
      <c r="Q3" s="12">
        <f t="shared" si="2"/>
        <v>8.8521084694366348</v>
      </c>
      <c r="R3" s="12">
        <f t="shared" si="2"/>
        <v>8.9066037598749812</v>
      </c>
      <c r="S3" s="12">
        <f t="shared" si="2"/>
        <v>8.9548687882918756</v>
      </c>
      <c r="T3" s="11">
        <f t="shared" ref="T3:T10" si="3">T4+$B$2*$B$5</f>
        <v>9</v>
      </c>
      <c r="U3">
        <v>10</v>
      </c>
      <c r="W3" s="2" t="s">
        <v>0</v>
      </c>
      <c r="X3" s="5">
        <f>F7</f>
        <v>0</v>
      </c>
      <c r="Y3" s="5">
        <f t="shared" ref="Y3:AB3" si="4">G7</f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>K8</f>
        <v>0</v>
      </c>
      <c r="AD3" s="5">
        <f>L9</f>
        <v>0</v>
      </c>
      <c r="AE3" s="5">
        <f>M10</f>
        <v>0</v>
      </c>
      <c r="AF3" s="5">
        <f>N11</f>
        <v>0</v>
      </c>
      <c r="AG3" s="5">
        <f>O12</f>
        <v>0</v>
      </c>
      <c r="AH3" s="5">
        <f t="shared" ref="AH3:AL3" si="5">P12</f>
        <v>0</v>
      </c>
      <c r="AI3" s="5">
        <f t="shared" si="5"/>
        <v>0</v>
      </c>
      <c r="AJ3" s="5">
        <f t="shared" si="5"/>
        <v>0</v>
      </c>
      <c r="AK3" s="5">
        <f t="shared" si="5"/>
        <v>0</v>
      </c>
      <c r="AL3" s="5">
        <f t="shared" si="5"/>
        <v>0</v>
      </c>
    </row>
    <row r="4" spans="1:38" x14ac:dyDescent="0.25">
      <c r="A4" s="2" t="s">
        <v>2</v>
      </c>
      <c r="B4" s="2">
        <v>10</v>
      </c>
      <c r="E4" s="3">
        <f t="shared" si="0"/>
        <v>1.5999999999999999</v>
      </c>
      <c r="F4" s="11">
        <f t="shared" si="1"/>
        <v>6</v>
      </c>
      <c r="G4" s="12">
        <f t="shared" ref="G4:S4" si="6">(G16+H17+G18+F17)/4</f>
        <v>6.0485104297694843</v>
      </c>
      <c r="H4" s="12">
        <f t="shared" si="6"/>
        <v>6.1130549706282409</v>
      </c>
      <c r="I4" s="12">
        <f t="shared" si="6"/>
        <v>6.2122066826259434</v>
      </c>
      <c r="J4" s="12">
        <f t="shared" si="6"/>
        <v>6.3659087426749377</v>
      </c>
      <c r="K4" s="12">
        <f t="shared" si="6"/>
        <v>6.5820399046363756</v>
      </c>
      <c r="L4" s="12">
        <f t="shared" si="6"/>
        <v>6.8221267276369435</v>
      </c>
      <c r="M4" s="12">
        <f t="shared" si="6"/>
        <v>7.0541154734311275</v>
      </c>
      <c r="N4" s="12">
        <f t="shared" si="6"/>
        <v>7.2616050075080159</v>
      </c>
      <c r="O4" s="12">
        <f t="shared" si="6"/>
        <v>7.439406555378091</v>
      </c>
      <c r="P4" s="12">
        <f t="shared" si="6"/>
        <v>7.5886003429309392</v>
      </c>
      <c r="Q4" s="12">
        <f t="shared" si="6"/>
        <v>7.7134013511164916</v>
      </c>
      <c r="R4" s="12">
        <f t="shared" si="6"/>
        <v>7.8194377961790948</v>
      </c>
      <c r="S4" s="12">
        <f t="shared" si="6"/>
        <v>7.9128714006144643</v>
      </c>
      <c r="T4" s="11">
        <f t="shared" si="3"/>
        <v>8</v>
      </c>
      <c r="U4">
        <v>9</v>
      </c>
      <c r="W4" s="2" t="s">
        <v>13</v>
      </c>
      <c r="X4" s="5">
        <f>F13</f>
        <v>0</v>
      </c>
      <c r="Y4" s="5">
        <f t="shared" ref="Y4:AL4" si="7">G13</f>
        <v>0.2</v>
      </c>
      <c r="Z4" s="5">
        <f t="shared" si="7"/>
        <v>0.4</v>
      </c>
      <c r="AA4" s="5">
        <f t="shared" si="7"/>
        <v>0.60000000000000009</v>
      </c>
      <c r="AB4" s="5">
        <f t="shared" si="7"/>
        <v>0.8</v>
      </c>
      <c r="AC4" s="5">
        <f t="shared" si="7"/>
        <v>1</v>
      </c>
      <c r="AD4" s="5">
        <f t="shared" si="7"/>
        <v>1.2</v>
      </c>
      <c r="AE4" s="5">
        <f t="shared" si="7"/>
        <v>1.4</v>
      </c>
      <c r="AF4" s="5">
        <f t="shared" si="7"/>
        <v>1.5999999999999999</v>
      </c>
      <c r="AG4" s="5">
        <f t="shared" si="7"/>
        <v>1.7999999999999998</v>
      </c>
      <c r="AH4" s="5">
        <f t="shared" si="7"/>
        <v>1.9999999999999998</v>
      </c>
      <c r="AI4" s="5">
        <f t="shared" si="7"/>
        <v>2.1999999999999997</v>
      </c>
      <c r="AJ4" s="5">
        <f t="shared" si="7"/>
        <v>2.4</v>
      </c>
      <c r="AK4" s="5">
        <f t="shared" si="7"/>
        <v>2.6</v>
      </c>
      <c r="AL4" s="5">
        <f t="shared" si="7"/>
        <v>2.8000000000000003</v>
      </c>
    </row>
    <row r="5" spans="1:38" x14ac:dyDescent="0.25">
      <c r="A5" s="2" t="s">
        <v>3</v>
      </c>
      <c r="B5" s="2">
        <f>((E2-E7)*B4)/(E2-E12)</f>
        <v>5</v>
      </c>
      <c r="E5" s="3">
        <f t="shared" si="0"/>
        <v>1.4</v>
      </c>
      <c r="F5" s="11">
        <f t="shared" si="1"/>
        <v>4</v>
      </c>
      <c r="G5" s="12">
        <f t="shared" ref="G5:S5" si="8">(G17+H18+G19+F18)/4</f>
        <v>4.0526421064459752</v>
      </c>
      <c r="H5" s="12">
        <f t="shared" si="8"/>
        <v>4.1266346239826159</v>
      </c>
      <c r="I5" s="12">
        <f t="shared" si="8"/>
        <v>4.2517900296834314</v>
      </c>
      <c r="J5" s="12">
        <f t="shared" si="8"/>
        <v>4.474171233714344</v>
      </c>
      <c r="K5" s="12">
        <f t="shared" si="8"/>
        <v>4.8432372393719767</v>
      </c>
      <c r="L5" s="12">
        <f t="shared" si="8"/>
        <v>5.2420608884190019</v>
      </c>
      <c r="M5" s="12">
        <f t="shared" si="8"/>
        <v>5.6105811409677324</v>
      </c>
      <c r="N5" s="12">
        <f t="shared" si="8"/>
        <v>5.9287079449440823</v>
      </c>
      <c r="O5" s="12">
        <f t="shared" si="8"/>
        <v>6.1944145626442637</v>
      </c>
      <c r="P5" s="12">
        <f t="shared" si="8"/>
        <v>6.4131647212713627</v>
      </c>
      <c r="Q5" s="12">
        <f t="shared" si="8"/>
        <v>6.5934588330273396</v>
      </c>
      <c r="R5" s="12">
        <f t="shared" si="8"/>
        <v>6.7448746992383004</v>
      </c>
      <c r="S5" s="12">
        <f t="shared" si="8"/>
        <v>6.8771790322891349</v>
      </c>
      <c r="T5" s="11">
        <f t="shared" si="3"/>
        <v>7</v>
      </c>
      <c r="U5">
        <v>8</v>
      </c>
      <c r="W5" s="2" t="s">
        <v>14</v>
      </c>
      <c r="X5" s="5">
        <f>$E$7</f>
        <v>1</v>
      </c>
      <c r="Y5" s="5">
        <f t="shared" ref="Y5:AB5" si="9">$E$7</f>
        <v>1</v>
      </c>
      <c r="Z5" s="5">
        <f t="shared" si="9"/>
        <v>1</v>
      </c>
      <c r="AA5" s="5">
        <f t="shared" si="9"/>
        <v>1</v>
      </c>
      <c r="AB5" s="5">
        <f t="shared" si="9"/>
        <v>1</v>
      </c>
      <c r="AC5" s="5">
        <f>E8</f>
        <v>0.8</v>
      </c>
      <c r="AD5" s="5">
        <f>E9</f>
        <v>0.60000000000000009</v>
      </c>
      <c r="AE5" s="5">
        <f>E10</f>
        <v>0.4</v>
      </c>
      <c r="AF5" s="5">
        <f>E11</f>
        <v>0.2</v>
      </c>
      <c r="AG5" s="5">
        <f>$E$12</f>
        <v>0</v>
      </c>
      <c r="AH5" s="5">
        <f t="shared" ref="AH5:AL5" si="10">$E$12</f>
        <v>0</v>
      </c>
      <c r="AI5" s="5">
        <f t="shared" si="10"/>
        <v>0</v>
      </c>
      <c r="AJ5" s="5">
        <f t="shared" si="10"/>
        <v>0</v>
      </c>
      <c r="AK5" s="5">
        <f t="shared" si="10"/>
        <v>0</v>
      </c>
      <c r="AL5" s="5">
        <f t="shared" si="10"/>
        <v>0</v>
      </c>
    </row>
    <row r="6" spans="1:38" x14ac:dyDescent="0.25">
      <c r="A6" s="2" t="s">
        <v>4</v>
      </c>
      <c r="B6" s="2">
        <v>101325</v>
      </c>
      <c r="E6" s="3">
        <f t="shared" si="0"/>
        <v>1.2</v>
      </c>
      <c r="F6" s="11">
        <f>F7+$B$2*$B$4</f>
        <v>2</v>
      </c>
      <c r="G6" s="12">
        <f t="shared" ref="G6:S10" si="11">(G18+H19+G20+F19)/4</f>
        <v>2.0354233751437012</v>
      </c>
      <c r="H6" s="12">
        <f t="shared" si="11"/>
        <v>2.0890513961841739</v>
      </c>
      <c r="I6" s="12">
        <f t="shared" si="11"/>
        <v>2.194147589988189</v>
      </c>
      <c r="J6" s="12">
        <f t="shared" si="11"/>
        <v>2.4357489421841789</v>
      </c>
      <c r="K6" s="12">
        <f t="shared" si="11"/>
        <v>3.0746769585919971</v>
      </c>
      <c r="L6" s="12">
        <f t="shared" si="11"/>
        <v>3.6922984856763237</v>
      </c>
      <c r="M6" s="12">
        <f t="shared" si="11"/>
        <v>4.2174403054853933</v>
      </c>
      <c r="N6" s="12">
        <f t="shared" si="11"/>
        <v>4.6482311263033083</v>
      </c>
      <c r="O6" s="12">
        <f t="shared" si="11"/>
        <v>4.9963790874444012</v>
      </c>
      <c r="P6" s="12">
        <f t="shared" si="11"/>
        <v>5.2761852046602016</v>
      </c>
      <c r="Q6" s="12">
        <f t="shared" si="11"/>
        <v>5.5023946086763962</v>
      </c>
      <c r="R6" s="12">
        <f t="shared" si="11"/>
        <v>5.6894231720890431</v>
      </c>
      <c r="S6" s="12">
        <f t="shared" si="11"/>
        <v>5.8509700479715772</v>
      </c>
      <c r="T6" s="11">
        <f t="shared" si="3"/>
        <v>6</v>
      </c>
      <c r="U6">
        <v>7</v>
      </c>
      <c r="W6" s="2" t="s">
        <v>10</v>
      </c>
      <c r="X6" s="5">
        <f>F33</f>
        <v>10</v>
      </c>
      <c r="Y6" s="5">
        <f t="shared" ref="Y6:AB6" si="12">G33</f>
        <v>10.177116875718506</v>
      </c>
      <c r="Z6" s="5">
        <f t="shared" si="12"/>
        <v>10.445256980920869</v>
      </c>
      <c r="AA6" s="5">
        <f t="shared" si="12"/>
        <v>10.970737949940945</v>
      </c>
      <c r="AB6" s="5">
        <f t="shared" si="12"/>
        <v>12.178744710920894</v>
      </c>
      <c r="AC6" s="5">
        <f>K34</f>
        <v>6.6371159657029049</v>
      </c>
      <c r="AD6" s="5">
        <f>L35</f>
        <v>5.0084557299208639</v>
      </c>
      <c r="AE6" s="5">
        <f>M36</f>
        <v>3.993158279835396</v>
      </c>
      <c r="AF6" s="5">
        <f>N37</f>
        <v>3.1416985814568066</v>
      </c>
      <c r="AG6" s="5">
        <f>O38</f>
        <v>2.1832321413793334</v>
      </c>
      <c r="AH6" s="5">
        <f t="shared" ref="AH6:AL6" si="13">P38</f>
        <v>3.2800235617569942</v>
      </c>
      <c r="AI6" s="5">
        <f t="shared" si="13"/>
        <v>3.9307642264347868</v>
      </c>
      <c r="AJ6" s="5">
        <f t="shared" si="13"/>
        <v>4.3713257263338043</v>
      </c>
      <c r="AK6" s="5">
        <f t="shared" si="13"/>
        <v>4.7077636852258209</v>
      </c>
      <c r="AL6" s="5">
        <f t="shared" si="13"/>
        <v>5</v>
      </c>
    </row>
    <row r="7" spans="1:38" x14ac:dyDescent="0.25">
      <c r="E7" s="3">
        <f t="shared" si="0"/>
        <v>1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2">
        <f t="shared" si="11"/>
        <v>1.3274231931405811</v>
      </c>
      <c r="L7" s="12">
        <f t="shared" si="11"/>
        <v>2.2350158287552464</v>
      </c>
      <c r="M7" s="12">
        <f t="shared" si="11"/>
        <v>2.9186505221876633</v>
      </c>
      <c r="N7" s="12">
        <f t="shared" si="11"/>
        <v>3.4503972282043409</v>
      </c>
      <c r="O7" s="12">
        <f t="shared" ref="O7:S7" si="14">(O19+P20+O21+N20)/4</f>
        <v>3.8666855239550637</v>
      </c>
      <c r="P7" s="12">
        <f t="shared" si="14"/>
        <v>4.192802464744295</v>
      </c>
      <c r="Q7" s="12">
        <f t="shared" si="14"/>
        <v>4.4505112819815373</v>
      </c>
      <c r="R7" s="12">
        <f t="shared" si="14"/>
        <v>4.6594533729664791</v>
      </c>
      <c r="S7" s="12">
        <f t="shared" si="14"/>
        <v>4.8372780097724029</v>
      </c>
      <c r="T7" s="11">
        <f t="shared" si="3"/>
        <v>5</v>
      </c>
      <c r="U7">
        <v>6</v>
      </c>
      <c r="W7" s="17" t="s">
        <v>11</v>
      </c>
      <c r="X7" s="5">
        <f>F46</f>
        <v>0</v>
      </c>
      <c r="Y7" s="5">
        <f t="shared" ref="Y7:AB7" si="15">G46</f>
        <v>0</v>
      </c>
      <c r="Z7" s="5">
        <f t="shared" si="15"/>
        <v>0</v>
      </c>
      <c r="AA7" s="5">
        <f t="shared" si="15"/>
        <v>0</v>
      </c>
      <c r="AB7" s="5">
        <f t="shared" si="15"/>
        <v>-6.6371159454163315</v>
      </c>
      <c r="AC7" s="5">
        <f>K47</f>
        <v>-5.0084557064001389</v>
      </c>
      <c r="AD7" s="5">
        <f>L48</f>
        <v>-3.9931582556852718</v>
      </c>
      <c r="AE7" s="5">
        <f>M49</f>
        <v>-3.1416985601510459</v>
      </c>
      <c r="AF7" s="5">
        <f>N50</f>
        <v>-2.1832321265666876</v>
      </c>
      <c r="AG7" s="5">
        <f>O51</f>
        <v>0</v>
      </c>
      <c r="AH7" s="5">
        <f t="shared" ref="AH7:AL7" si="16">P51</f>
        <v>0</v>
      </c>
      <c r="AI7" s="5">
        <f t="shared" si="16"/>
        <v>0</v>
      </c>
      <c r="AJ7" s="5">
        <f t="shared" si="16"/>
        <v>0</v>
      </c>
      <c r="AK7" s="5">
        <f t="shared" si="16"/>
        <v>0</v>
      </c>
      <c r="AL7" s="5">
        <f t="shared" si="16"/>
        <v>0</v>
      </c>
    </row>
    <row r="8" spans="1:38" x14ac:dyDescent="0.25">
      <c r="E8" s="3">
        <f t="shared" si="0"/>
        <v>0.8</v>
      </c>
      <c r="F8" s="12"/>
      <c r="G8" s="12"/>
      <c r="H8" s="12"/>
      <c r="I8" s="12"/>
      <c r="J8" s="12"/>
      <c r="K8" s="11">
        <v>0</v>
      </c>
      <c r="L8" s="12">
        <f t="shared" si="11"/>
        <v>1.0016911459841729</v>
      </c>
      <c r="M8" s="12">
        <f t="shared" si="11"/>
        <v>1.7717487723234224</v>
      </c>
      <c r="N8" s="12">
        <f t="shared" si="11"/>
        <v>2.3680218004020603</v>
      </c>
      <c r="O8" s="12">
        <f t="shared" ref="O8:S8" si="17">(O20+P21+O22+N21)/4</f>
        <v>2.8271633796161399</v>
      </c>
      <c r="P8" s="12">
        <f t="shared" si="17"/>
        <v>3.1778279143367341</v>
      </c>
      <c r="Q8" s="12">
        <f t="shared" si="17"/>
        <v>3.4473947372538918</v>
      </c>
      <c r="R8" s="12">
        <f t="shared" si="17"/>
        <v>3.6606010708649892</v>
      </c>
      <c r="S8" s="12">
        <f t="shared" si="17"/>
        <v>3.8386886401185127</v>
      </c>
      <c r="T8" s="11">
        <f t="shared" si="3"/>
        <v>4</v>
      </c>
      <c r="U8">
        <v>5</v>
      </c>
      <c r="W8" s="2" t="s">
        <v>12</v>
      </c>
      <c r="X8" s="5">
        <f>F59</f>
        <v>10</v>
      </c>
      <c r="Y8" s="5">
        <f t="shared" ref="Y8:AB8" si="18">G59</f>
        <v>10.177116875718506</v>
      </c>
      <c r="Z8" s="5">
        <f t="shared" si="18"/>
        <v>10.445256980920869</v>
      </c>
      <c r="AA8" s="5">
        <f t="shared" si="18"/>
        <v>10.970737949940945</v>
      </c>
      <c r="AB8" s="5">
        <f t="shared" si="18"/>
        <v>13.86986412358403</v>
      </c>
      <c r="AC8" s="5">
        <f>K60</f>
        <v>8.3148022769733085</v>
      </c>
      <c r="AD8" s="5">
        <f>L61</f>
        <v>6.4054618610623679</v>
      </c>
      <c r="AE8" s="5">
        <f>M62</f>
        <v>5.0809037474324521</v>
      </c>
      <c r="AF8" s="5">
        <f>N63</f>
        <v>3.8258035097480647</v>
      </c>
      <c r="AG8" s="5">
        <f>O64</f>
        <v>2.1832321413793334</v>
      </c>
      <c r="AH8" s="5">
        <f t="shared" ref="AH8:AL8" si="19">P64</f>
        <v>3.2800235617569942</v>
      </c>
      <c r="AI8" s="5">
        <f t="shared" si="19"/>
        <v>3.9307642264347868</v>
      </c>
      <c r="AJ8" s="5">
        <f t="shared" si="19"/>
        <v>4.3713257263338043</v>
      </c>
      <c r="AK8" s="5">
        <f t="shared" si="19"/>
        <v>4.7077636852258209</v>
      </c>
      <c r="AL8" s="5">
        <f t="shared" si="19"/>
        <v>5</v>
      </c>
    </row>
    <row r="9" spans="1:38" x14ac:dyDescent="0.25">
      <c r="E9" s="3">
        <f t="shared" si="0"/>
        <v>0.60000000000000009</v>
      </c>
      <c r="F9" s="12"/>
      <c r="G9" s="12"/>
      <c r="H9" s="12"/>
      <c r="I9" s="12"/>
      <c r="J9" s="12"/>
      <c r="K9" s="12"/>
      <c r="L9" s="11">
        <v>0</v>
      </c>
      <c r="M9" s="12">
        <f t="shared" si="11"/>
        <v>0.79863165596707919</v>
      </c>
      <c r="N9" s="12">
        <f t="shared" si="11"/>
        <v>1.4227778691455795</v>
      </c>
      <c r="O9" s="12">
        <f t="shared" ref="O9:S9" si="20">(O21+P22+O23+N22)/4</f>
        <v>1.8961183376882009</v>
      </c>
      <c r="P9" s="12">
        <f t="shared" si="20"/>
        <v>2.2439511326791064</v>
      </c>
      <c r="Q9" s="12">
        <f t="shared" si="20"/>
        <v>2.5006387344439092</v>
      </c>
      <c r="R9" s="12">
        <f t="shared" si="20"/>
        <v>2.6968675710597356</v>
      </c>
      <c r="S9" s="12">
        <f t="shared" si="20"/>
        <v>2.856875500864505</v>
      </c>
      <c r="T9" s="11">
        <f t="shared" si="3"/>
        <v>3</v>
      </c>
      <c r="U9">
        <v>4</v>
      </c>
      <c r="W9" s="2" t="s">
        <v>16</v>
      </c>
      <c r="X9" s="2">
        <f>$B$6</f>
        <v>101325</v>
      </c>
      <c r="Y9" s="2">
        <f>(X9+(X8^2)/2)-(Y8^2)/2</f>
        <v>101323.21314604898</v>
      </c>
      <c r="Z9" s="2">
        <f t="shared" ref="Z9:AL9" si="21">(Y9+(Y8^2)/2)-(Z8^2)/2</f>
        <v>101320.44830330127</v>
      </c>
      <c r="AA9" s="2">
        <f t="shared" si="21"/>
        <v>101314.82145441686</v>
      </c>
      <c r="AB9" s="2">
        <f t="shared" si="21"/>
        <v>101278.81343459665</v>
      </c>
      <c r="AC9" s="2">
        <f t="shared" si="21"/>
        <v>101340.43203154742</v>
      </c>
      <c r="AD9" s="2">
        <f t="shared" si="21"/>
        <v>101354.48502917324</v>
      </c>
      <c r="AE9" s="2">
        <f t="shared" si="21"/>
        <v>101362.09220855466</v>
      </c>
      <c r="AF9" s="2">
        <f t="shared" si="21"/>
        <v>101367.6816137524</v>
      </c>
      <c r="AG9" s="2">
        <f t="shared" si="21"/>
        <v>101372.61674870843</v>
      </c>
      <c r="AH9" s="2">
        <f t="shared" si="21"/>
        <v>101369.62072271715</v>
      </c>
      <c r="AI9" s="2">
        <f t="shared" si="21"/>
        <v>101367.2745462981</v>
      </c>
      <c r="AJ9" s="2">
        <f t="shared" si="21"/>
        <v>101365.44575569715</v>
      </c>
      <c r="AK9" s="2">
        <f t="shared" si="21"/>
        <v>101363.91848054204</v>
      </c>
      <c r="AL9" s="2">
        <f t="shared" si="21"/>
        <v>101362.5</v>
      </c>
    </row>
    <row r="10" spans="1:38" x14ac:dyDescent="0.25">
      <c r="A10" s="2" t="s">
        <v>5</v>
      </c>
      <c r="B10" s="2">
        <v>300</v>
      </c>
      <c r="C10">
        <v>301</v>
      </c>
      <c r="D10">
        <v>0</v>
      </c>
      <c r="E10" s="3">
        <f t="shared" si="0"/>
        <v>0.4</v>
      </c>
      <c r="F10" s="12"/>
      <c r="G10" s="12"/>
      <c r="H10" s="12"/>
      <c r="I10" s="12"/>
      <c r="J10" s="12"/>
      <c r="K10" s="12"/>
      <c r="L10" s="12"/>
      <c r="M10" s="11">
        <v>0</v>
      </c>
      <c r="N10" s="12">
        <f t="shared" si="11"/>
        <v>0.62833971629136132</v>
      </c>
      <c r="O10" s="12">
        <f t="shared" ref="O10:S10" si="22">(O22+P23+O24+N23)/4</f>
        <v>1.0905810115475705</v>
      </c>
      <c r="P10" s="12">
        <f t="shared" si="22"/>
        <v>1.4012195910538192</v>
      </c>
      <c r="Q10" s="12">
        <f t="shared" si="22"/>
        <v>1.6143415379003314</v>
      </c>
      <c r="R10" s="12">
        <f t="shared" si="22"/>
        <v>1.7693550103445033</v>
      </c>
      <c r="S10" s="12">
        <f t="shared" si="22"/>
        <v>1.8919458089999575</v>
      </c>
      <c r="T10" s="11">
        <f t="shared" si="3"/>
        <v>2</v>
      </c>
      <c r="U10">
        <v>3</v>
      </c>
      <c r="W10" s="2" t="s">
        <v>15</v>
      </c>
      <c r="X10" s="5">
        <f>(X9-$B$6)/(($B$4^2)/2)</f>
        <v>0</v>
      </c>
      <c r="Y10" s="5">
        <f t="shared" ref="Y10:AL10" si="23">(Y9-$B$6)/(($B$4^2)/2)</f>
        <v>-3.5737079020473177E-2</v>
      </c>
      <c r="Z10" s="5">
        <f t="shared" si="23"/>
        <v>-9.1033933974686079E-2</v>
      </c>
      <c r="AA10" s="5">
        <f t="shared" si="23"/>
        <v>-0.2035709116628277</v>
      </c>
      <c r="AB10" s="5">
        <f t="shared" si="23"/>
        <v>-0.92373130806692638</v>
      </c>
      <c r="AC10" s="5">
        <f t="shared" si="23"/>
        <v>0.30864063094835731</v>
      </c>
      <c r="AD10" s="5">
        <f t="shared" si="23"/>
        <v>0.58970058346487353</v>
      </c>
      <c r="AE10" s="5">
        <f t="shared" si="23"/>
        <v>0.74184417109325296</v>
      </c>
      <c r="AF10" s="5">
        <f t="shared" si="23"/>
        <v>0.8536322750480031</v>
      </c>
      <c r="AG10" s="5">
        <f t="shared" si="23"/>
        <v>0.95233497416862523</v>
      </c>
      <c r="AH10" s="5">
        <f t="shared" si="23"/>
        <v>0.89241445434308841</v>
      </c>
      <c r="AI10" s="5">
        <f t="shared" si="23"/>
        <v>0.84549092596193076</v>
      </c>
      <c r="AJ10" s="5">
        <f t="shared" si="23"/>
        <v>0.80891511394293047</v>
      </c>
      <c r="AK10" s="5">
        <f t="shared" si="23"/>
        <v>0.77836961084074574</v>
      </c>
      <c r="AL10" s="5">
        <f t="shared" si="23"/>
        <v>0.75</v>
      </c>
    </row>
    <row r="11" spans="1:38" x14ac:dyDescent="0.25">
      <c r="E11" s="3">
        <f>E12+0.2</f>
        <v>0.2</v>
      </c>
      <c r="F11" s="12"/>
      <c r="G11" s="12"/>
      <c r="H11" s="12"/>
      <c r="I11" s="12"/>
      <c r="J11" s="12"/>
      <c r="K11" s="12"/>
      <c r="L11" s="12"/>
      <c r="M11" s="12"/>
      <c r="N11" s="11">
        <v>0</v>
      </c>
      <c r="O11" s="12">
        <f t="shared" ref="O11:S11" si="24">(O23+P24+O25+N24)/4</f>
        <v>0.43664642827586669</v>
      </c>
      <c r="P11" s="12">
        <f t="shared" si="24"/>
        <v>0.6560047123513989</v>
      </c>
      <c r="Q11" s="12">
        <f t="shared" si="24"/>
        <v>0.78615284528695739</v>
      </c>
      <c r="R11" s="12">
        <f t="shared" si="24"/>
        <v>0.87426514526676091</v>
      </c>
      <c r="S11" s="12">
        <f t="shared" si="24"/>
        <v>0.94155273704516429</v>
      </c>
      <c r="T11" s="11">
        <f>T12+$B$2*$B$5</f>
        <v>1</v>
      </c>
      <c r="U11">
        <v>2</v>
      </c>
    </row>
    <row r="12" spans="1:38" x14ac:dyDescent="0.25">
      <c r="A12" s="2" t="s">
        <v>6</v>
      </c>
      <c r="B12" s="2">
        <v>15</v>
      </c>
      <c r="E12" s="3">
        <v>0</v>
      </c>
      <c r="F12" s="11"/>
      <c r="G12" s="12"/>
      <c r="H12" s="12"/>
      <c r="I12" s="12"/>
      <c r="J12" s="12"/>
      <c r="K12" s="12"/>
      <c r="L12" s="12"/>
      <c r="M12" s="12"/>
      <c r="N12" s="12"/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>
        <v>1</v>
      </c>
    </row>
    <row r="13" spans="1:38" x14ac:dyDescent="0.25">
      <c r="A13" s="2" t="s">
        <v>7</v>
      </c>
      <c r="B13" s="2">
        <v>11</v>
      </c>
      <c r="F13" s="3">
        <v>0</v>
      </c>
      <c r="G13" s="3">
        <f>F13+0.2</f>
        <v>0.2</v>
      </c>
      <c r="H13" s="3">
        <f t="shared" ref="H13:T13" si="25">G13+0.2</f>
        <v>0.4</v>
      </c>
      <c r="I13" s="3">
        <f t="shared" si="25"/>
        <v>0.60000000000000009</v>
      </c>
      <c r="J13" s="3">
        <f t="shared" si="25"/>
        <v>0.8</v>
      </c>
      <c r="K13" s="3">
        <f t="shared" si="25"/>
        <v>1</v>
      </c>
      <c r="L13" s="3">
        <f t="shared" si="25"/>
        <v>1.2</v>
      </c>
      <c r="M13" s="3">
        <f t="shared" si="25"/>
        <v>1.4</v>
      </c>
      <c r="N13" s="3">
        <f t="shared" si="25"/>
        <v>1.5999999999999999</v>
      </c>
      <c r="O13" s="3">
        <f t="shared" si="25"/>
        <v>1.7999999999999998</v>
      </c>
      <c r="P13" s="3">
        <f t="shared" si="25"/>
        <v>1.9999999999999998</v>
      </c>
      <c r="Q13" s="3">
        <f t="shared" si="25"/>
        <v>2.1999999999999997</v>
      </c>
      <c r="R13" s="3">
        <f t="shared" si="25"/>
        <v>2.4</v>
      </c>
      <c r="S13" s="3">
        <f t="shared" si="25"/>
        <v>2.6</v>
      </c>
      <c r="T13" s="3">
        <f t="shared" si="25"/>
        <v>2.8000000000000003</v>
      </c>
    </row>
    <row r="14" spans="1:38" x14ac:dyDescent="0.25">
      <c r="A14" s="2" t="s">
        <v>8</v>
      </c>
      <c r="B14" s="2">
        <v>15</v>
      </c>
    </row>
    <row r="15" spans="1:38" x14ac:dyDescent="0.25">
      <c r="A15" s="2" t="s">
        <v>9</v>
      </c>
      <c r="B15" s="2">
        <v>6</v>
      </c>
      <c r="E15" s="3">
        <f t="shared" ref="E15:E23" si="26">E16+0.2</f>
        <v>1.9999999999999998</v>
      </c>
      <c r="F15" s="4">
        <v>10</v>
      </c>
      <c r="G15" s="8">
        <v>10</v>
      </c>
      <c r="H15" s="8">
        <v>10</v>
      </c>
      <c r="I15" s="8">
        <v>10</v>
      </c>
      <c r="J15" s="8">
        <v>10</v>
      </c>
      <c r="K15" s="8">
        <v>10</v>
      </c>
      <c r="L15" s="8">
        <v>10</v>
      </c>
      <c r="M15" s="8">
        <v>10</v>
      </c>
      <c r="N15" s="8">
        <v>10</v>
      </c>
      <c r="O15" s="8">
        <v>10</v>
      </c>
      <c r="P15" s="8">
        <v>10</v>
      </c>
      <c r="Q15" s="8">
        <v>10</v>
      </c>
      <c r="R15" s="8">
        <v>10</v>
      </c>
      <c r="S15" s="8">
        <v>10</v>
      </c>
      <c r="T15" s="4">
        <v>10</v>
      </c>
    </row>
    <row r="16" spans="1:38" x14ac:dyDescent="0.25">
      <c r="A16" s="2" t="s">
        <v>0</v>
      </c>
      <c r="B16" s="2">
        <v>0</v>
      </c>
      <c r="E16" s="3">
        <f t="shared" si="26"/>
        <v>1.7999999999999998</v>
      </c>
      <c r="F16" s="6">
        <v>8</v>
      </c>
      <c r="G16" s="5">
        <v>8.0283446446366185</v>
      </c>
      <c r="H16" s="5">
        <v>8.0648681515861966</v>
      </c>
      <c r="I16" s="5">
        <v>8.1180729969834662</v>
      </c>
      <c r="J16" s="5">
        <v>8.1952171636329254</v>
      </c>
      <c r="K16" s="5">
        <v>8.2968869294864849</v>
      </c>
      <c r="L16" s="5">
        <v>8.410290670388207</v>
      </c>
      <c r="M16" s="5">
        <v>8.5221490509784452</v>
      </c>
      <c r="N16" s="5">
        <v>8.6241900925606156</v>
      </c>
      <c r="O16" s="5">
        <v>8.7130063475733515</v>
      </c>
      <c r="P16" s="5">
        <v>8.7884287798932164</v>
      </c>
      <c r="Q16" s="5">
        <v>8.852108464208337</v>
      </c>
      <c r="R16" s="5">
        <v>8.9066037562005658</v>
      </c>
      <c r="S16" s="5">
        <v>8.9548687862825691</v>
      </c>
      <c r="T16" s="7">
        <v>9</v>
      </c>
    </row>
    <row r="17" spans="4:20" x14ac:dyDescent="0.25">
      <c r="E17" s="3">
        <f t="shared" si="26"/>
        <v>1.5999999999999999</v>
      </c>
      <c r="F17" s="6">
        <v>6</v>
      </c>
      <c r="G17" s="5">
        <v>6.0485104289698821</v>
      </c>
      <c r="H17" s="5">
        <v>6.1130549688493172</v>
      </c>
      <c r="I17" s="5">
        <v>6.2122066797623905</v>
      </c>
      <c r="J17" s="5">
        <v>6.3659087381646478</v>
      </c>
      <c r="K17" s="5">
        <v>6.5820398984502706</v>
      </c>
      <c r="L17" s="5">
        <v>6.8221267191715951</v>
      </c>
      <c r="M17" s="5">
        <v>7.0541154634856973</v>
      </c>
      <c r="N17" s="5">
        <v>7.2616049958911679</v>
      </c>
      <c r="O17" s="5">
        <v>7.4394065437434875</v>
      </c>
      <c r="P17" s="5">
        <v>7.588600331446564</v>
      </c>
      <c r="Q17" s="5">
        <v>7.7134013416527569</v>
      </c>
      <c r="R17" s="5">
        <v>7.8194377890090232</v>
      </c>
      <c r="S17" s="5">
        <v>7.9128713969669358</v>
      </c>
      <c r="T17" s="7">
        <v>8</v>
      </c>
    </row>
    <row r="18" spans="4:20" x14ac:dyDescent="0.25">
      <c r="E18" s="3">
        <f t="shared" si="26"/>
        <v>1.4</v>
      </c>
      <c r="F18" s="6">
        <v>4</v>
      </c>
      <c r="G18" s="5">
        <v>4.0526421055919997</v>
      </c>
      <c r="H18" s="5">
        <v>4.1266346221944952</v>
      </c>
      <c r="I18" s="5">
        <v>4.2517900265063417</v>
      </c>
      <c r="J18" s="5">
        <v>4.4741712288541624</v>
      </c>
      <c r="K18" s="5">
        <v>4.8432372317227754</v>
      </c>
      <c r="L18" s="5">
        <v>5.2420608782236009</v>
      </c>
      <c r="M18" s="5">
        <v>5.6105811276833002</v>
      </c>
      <c r="N18" s="5">
        <v>5.9287079302422629</v>
      </c>
      <c r="O18" s="5">
        <v>6.1944145466012808</v>
      </c>
      <c r="P18" s="5">
        <v>6.4131647064342978</v>
      </c>
      <c r="Q18" s="5">
        <v>6.5934588198020414</v>
      </c>
      <c r="R18" s="5">
        <v>6.7448746898961236</v>
      </c>
      <c r="S18" s="5">
        <v>6.8771790271662683</v>
      </c>
      <c r="T18" s="7">
        <v>7</v>
      </c>
    </row>
    <row r="19" spans="4:20" x14ac:dyDescent="0.25">
      <c r="E19" s="3">
        <f t="shared" si="26"/>
        <v>1.2</v>
      </c>
      <c r="F19" s="6">
        <v>2</v>
      </c>
      <c r="G19" s="5">
        <v>2.0354233746195223</v>
      </c>
      <c r="H19" s="5">
        <v>2.0890513949828051</v>
      </c>
      <c r="I19" s="5">
        <v>2.1941475879226782</v>
      </c>
      <c r="J19" s="5">
        <v>2.4357489384636093</v>
      </c>
      <c r="K19" s="5">
        <v>3.0746769519598742</v>
      </c>
      <c r="L19" s="5">
        <v>3.6922984750983376</v>
      </c>
      <c r="M19" s="5">
        <v>4.2174402919193685</v>
      </c>
      <c r="N19" s="5">
        <v>4.6482311096005819</v>
      </c>
      <c r="O19" s="5">
        <v>4.9963790701570057</v>
      </c>
      <c r="P19" s="5">
        <v>5.2761851872355647</v>
      </c>
      <c r="Q19" s="5">
        <v>5.50239459412618</v>
      </c>
      <c r="R19" s="5">
        <v>5.6894231609758679</v>
      </c>
      <c r="S19" s="5">
        <v>5.8509700422934792</v>
      </c>
      <c r="T19" s="7">
        <v>6</v>
      </c>
    </row>
    <row r="20" spans="4:20" x14ac:dyDescent="0.25">
      <c r="E20" s="3">
        <f t="shared" si="26"/>
        <v>1</v>
      </c>
      <c r="F20" s="4">
        <v>0</v>
      </c>
      <c r="G20" s="9">
        <v>0</v>
      </c>
      <c r="H20" s="9">
        <v>0</v>
      </c>
      <c r="I20" s="9">
        <v>0</v>
      </c>
      <c r="J20" s="10">
        <v>0</v>
      </c>
      <c r="K20" s="5">
        <v>1.3274231890832664</v>
      </c>
      <c r="L20" s="5">
        <v>2.2350158206024502</v>
      </c>
      <c r="M20" s="5">
        <v>2.9186505095593542</v>
      </c>
      <c r="N20" s="5">
        <v>3.4503972128945923</v>
      </c>
      <c r="O20" s="5">
        <v>3.8666855063401755</v>
      </c>
      <c r="P20" s="5">
        <v>4.1928024479233228</v>
      </c>
      <c r="Q20" s="5">
        <v>4.4505112666921089</v>
      </c>
      <c r="R20" s="5">
        <v>4.6594533620403897</v>
      </c>
      <c r="S20" s="5">
        <v>4.8372780037441734</v>
      </c>
      <c r="T20" s="7">
        <v>5</v>
      </c>
    </row>
    <row r="21" spans="4:20" x14ac:dyDescent="0.25">
      <c r="E21" s="3">
        <f t="shared" si="26"/>
        <v>0.8</v>
      </c>
      <c r="F21" s="5"/>
      <c r="G21" s="5"/>
      <c r="H21" s="5"/>
      <c r="I21" s="5"/>
      <c r="J21" s="5"/>
      <c r="K21" s="10">
        <v>0</v>
      </c>
      <c r="L21" s="5">
        <v>1.0016911412800278</v>
      </c>
      <c r="M21" s="5">
        <v>1.771748763334241</v>
      </c>
      <c r="N21" s="5">
        <v>2.3680217873172529</v>
      </c>
      <c r="O21" s="5">
        <v>2.8271633648453327</v>
      </c>
      <c r="P21" s="5">
        <v>3.1778278987093307</v>
      </c>
      <c r="Q21" s="5">
        <v>3.4473947238362554</v>
      </c>
      <c r="R21" s="5">
        <v>3.6606010604537658</v>
      </c>
      <c r="S21" s="5">
        <v>3.8386886347557407</v>
      </c>
      <c r="T21" s="7">
        <v>4</v>
      </c>
    </row>
    <row r="22" spans="4:20" x14ac:dyDescent="0.25">
      <c r="E22" s="3">
        <f t="shared" si="26"/>
        <v>0.60000000000000009</v>
      </c>
      <c r="F22" s="5"/>
      <c r="G22" s="5"/>
      <c r="H22" s="5"/>
      <c r="I22" s="5"/>
      <c r="J22" s="5"/>
      <c r="K22" s="5"/>
      <c r="L22" s="10">
        <v>0</v>
      </c>
      <c r="M22" s="5">
        <v>0.79863165113705437</v>
      </c>
      <c r="N22" s="5">
        <v>1.4227778605340755</v>
      </c>
      <c r="O22" s="5">
        <v>1.8961183260978016</v>
      </c>
      <c r="P22" s="5">
        <v>2.2439511207420249</v>
      </c>
      <c r="Q22" s="5">
        <v>2.50063872316036</v>
      </c>
      <c r="R22" s="5">
        <v>2.6968675628275709</v>
      </c>
      <c r="S22" s="5">
        <v>2.8568754962761096</v>
      </c>
      <c r="T22" s="7">
        <v>3</v>
      </c>
    </row>
    <row r="23" spans="4:20" x14ac:dyDescent="0.25">
      <c r="E23" s="3">
        <f t="shared" si="26"/>
        <v>0.4</v>
      </c>
      <c r="F23" s="5"/>
      <c r="G23" s="5"/>
      <c r="H23" s="5"/>
      <c r="I23" s="5"/>
      <c r="J23" s="5"/>
      <c r="K23" s="5"/>
      <c r="L23" s="5"/>
      <c r="M23" s="10">
        <v>0</v>
      </c>
      <c r="N23" s="5">
        <v>0.62833971203020922</v>
      </c>
      <c r="O23" s="5">
        <v>1.09058100463137</v>
      </c>
      <c r="P23" s="5">
        <v>1.401219582748934</v>
      </c>
      <c r="Q23" s="5">
        <v>1.614341530369785</v>
      </c>
      <c r="R23" s="5">
        <v>1.7693550043487078</v>
      </c>
      <c r="S23" s="5">
        <v>1.8919458058747094</v>
      </c>
      <c r="T23" s="7">
        <v>2</v>
      </c>
    </row>
    <row r="24" spans="4:20" x14ac:dyDescent="0.25">
      <c r="E24" s="3">
        <f>E25+0.2</f>
        <v>0.2</v>
      </c>
      <c r="F24" s="5"/>
      <c r="G24" s="5"/>
      <c r="H24" s="5"/>
      <c r="I24" s="5"/>
      <c r="J24" s="5"/>
      <c r="K24" s="5"/>
      <c r="L24" s="5"/>
      <c r="M24" s="5"/>
      <c r="N24" s="10">
        <v>0</v>
      </c>
      <c r="O24" s="5">
        <v>0.43664642531333753</v>
      </c>
      <c r="P24" s="5">
        <v>0.6560047084720968</v>
      </c>
      <c r="Q24" s="5">
        <v>0.78615284134332408</v>
      </c>
      <c r="R24" s="5">
        <v>0.87426514230594765</v>
      </c>
      <c r="S24" s="5">
        <v>0.94155273537501183</v>
      </c>
      <c r="T24" s="7">
        <v>1</v>
      </c>
    </row>
    <row r="25" spans="4:20" x14ac:dyDescent="0.25">
      <c r="E25" s="3">
        <v>0</v>
      </c>
      <c r="F25" s="4"/>
      <c r="G25" s="5"/>
      <c r="H25" s="5"/>
      <c r="I25" s="5"/>
      <c r="J25" s="5"/>
      <c r="K25" s="5"/>
      <c r="L25" s="5"/>
      <c r="M25" s="5"/>
      <c r="N25" s="5"/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7">
        <v>0</v>
      </c>
    </row>
    <row r="26" spans="4:20" x14ac:dyDescent="0.25">
      <c r="F26" s="3">
        <v>0</v>
      </c>
      <c r="G26" s="3">
        <f>F26+0.2</f>
        <v>0.2</v>
      </c>
      <c r="H26" s="3">
        <f t="shared" ref="H26:T26" si="27">G26+0.2</f>
        <v>0.4</v>
      </c>
      <c r="I26" s="3">
        <f t="shared" si="27"/>
        <v>0.60000000000000009</v>
      </c>
      <c r="J26" s="3">
        <f t="shared" si="27"/>
        <v>0.8</v>
      </c>
      <c r="K26" s="3">
        <f t="shared" si="27"/>
        <v>1</v>
      </c>
      <c r="L26" s="3">
        <f t="shared" si="27"/>
        <v>1.2</v>
      </c>
      <c r="M26" s="3">
        <f t="shared" si="27"/>
        <v>1.4</v>
      </c>
      <c r="N26" s="3">
        <f t="shared" si="27"/>
        <v>1.5999999999999999</v>
      </c>
      <c r="O26" s="3">
        <f t="shared" si="27"/>
        <v>1.7999999999999998</v>
      </c>
      <c r="P26" s="3">
        <f t="shared" si="27"/>
        <v>1.9999999999999998</v>
      </c>
      <c r="Q26" s="3">
        <f t="shared" si="27"/>
        <v>2.1999999999999997</v>
      </c>
      <c r="R26" s="3">
        <f t="shared" si="27"/>
        <v>2.4</v>
      </c>
      <c r="S26" s="3">
        <f t="shared" si="27"/>
        <v>2.6</v>
      </c>
      <c r="T26" s="3">
        <f t="shared" si="27"/>
        <v>2.8000000000000003</v>
      </c>
    </row>
    <row r="28" spans="4:20" x14ac:dyDescent="0.25">
      <c r="D28" t="s">
        <v>10</v>
      </c>
      <c r="E28" s="3">
        <f t="shared" ref="E28:E36" si="28">E29+0.2</f>
        <v>1.9999999999999998</v>
      </c>
      <c r="F28" s="11">
        <f>(F2-F3)/$B$2</f>
        <v>10</v>
      </c>
      <c r="G28" s="11">
        <f t="shared" ref="G28:V28" si="29">(G2-G3)/$B$2</f>
        <v>9.8582767743048993</v>
      </c>
      <c r="H28" s="11">
        <f t="shared" si="29"/>
        <v>9.6756592369132477</v>
      </c>
      <c r="I28" s="11">
        <f t="shared" si="29"/>
        <v>9.4096350062731116</v>
      </c>
      <c r="J28" s="11">
        <f t="shared" si="29"/>
        <v>9.0239141692067548</v>
      </c>
      <c r="K28" s="11">
        <f t="shared" si="29"/>
        <v>8.5155653344107485</v>
      </c>
      <c r="L28" s="11">
        <f t="shared" si="29"/>
        <v>7.9485466254543446</v>
      </c>
      <c r="M28" s="11">
        <f t="shared" si="29"/>
        <v>7.3892547169568523</v>
      </c>
      <c r="N28" s="11">
        <f t="shared" si="29"/>
        <v>6.8790495069462931</v>
      </c>
      <c r="O28" s="11">
        <f t="shared" si="29"/>
        <v>6.4349682297533484</v>
      </c>
      <c r="P28" s="11">
        <f t="shared" si="29"/>
        <v>6.0578560709646823</v>
      </c>
      <c r="Q28" s="11">
        <f t="shared" si="29"/>
        <v>5.7394576528168262</v>
      </c>
      <c r="R28" s="11">
        <f t="shared" si="29"/>
        <v>5.466981200625094</v>
      </c>
      <c r="S28" s="11">
        <f t="shared" si="29"/>
        <v>5.225656058540622</v>
      </c>
      <c r="T28" s="11">
        <f t="shared" si="29"/>
        <v>5</v>
      </c>
    </row>
    <row r="29" spans="4:20" x14ac:dyDescent="0.25">
      <c r="E29" s="3">
        <f t="shared" si="28"/>
        <v>1.7999999999999998</v>
      </c>
      <c r="F29" s="11">
        <f>(F2-F4)/(2*$B$2)</f>
        <v>10</v>
      </c>
      <c r="G29" s="13">
        <f>(G2+G4)/(2*$B$2)</f>
        <v>40.121276074423712</v>
      </c>
      <c r="H29" s="13">
        <f t="shared" ref="H29:S29" si="30">(H2+H4)/(2*$B$2)</f>
        <v>40.282637426570602</v>
      </c>
      <c r="I29" s="13">
        <f t="shared" si="30"/>
        <v>40.530516706564853</v>
      </c>
      <c r="J29" s="13">
        <f t="shared" si="30"/>
        <v>40.914771856687345</v>
      </c>
      <c r="K29" s="13">
        <f t="shared" si="30"/>
        <v>41.455099761590937</v>
      </c>
      <c r="L29" s="13">
        <f t="shared" si="30"/>
        <v>42.055316819092354</v>
      </c>
      <c r="M29" s="13">
        <f t="shared" si="30"/>
        <v>42.635288683577819</v>
      </c>
      <c r="N29" s="13">
        <f t="shared" si="30"/>
        <v>43.154012518770038</v>
      </c>
      <c r="O29" s="13">
        <f t="shared" si="30"/>
        <v>43.598516388445226</v>
      </c>
      <c r="P29" s="13">
        <f t="shared" si="30"/>
        <v>43.971500857327342</v>
      </c>
      <c r="Q29" s="13">
        <f t="shared" si="30"/>
        <v>44.283503377791227</v>
      </c>
      <c r="R29" s="13">
        <f t="shared" si="30"/>
        <v>44.548594490447734</v>
      </c>
      <c r="S29" s="13">
        <f t="shared" si="30"/>
        <v>44.782178501536158</v>
      </c>
      <c r="T29" s="14">
        <v>5</v>
      </c>
    </row>
    <row r="30" spans="4:20" x14ac:dyDescent="0.25">
      <c r="E30" s="3">
        <f t="shared" si="28"/>
        <v>1.5999999999999999</v>
      </c>
      <c r="F30" s="11">
        <f t="shared" ref="F30:F32" si="31">(F3-F5)/(2*$B$2)</f>
        <v>10</v>
      </c>
      <c r="G30" s="13">
        <f t="shared" ref="G30:S30" si="32">(G3+G5)/(2*$B$2)</f>
        <v>30.202466878962486</v>
      </c>
      <c r="H30" s="13">
        <f t="shared" si="32"/>
        <v>30.478756941499913</v>
      </c>
      <c r="I30" s="13">
        <f t="shared" si="32"/>
        <v>30.924657571072025</v>
      </c>
      <c r="J30" s="13">
        <f t="shared" si="32"/>
        <v>31.673470999682483</v>
      </c>
      <c r="K30" s="13">
        <f t="shared" si="32"/>
        <v>32.850310431224564</v>
      </c>
      <c r="L30" s="13">
        <f t="shared" si="32"/>
        <v>34.130878908320327</v>
      </c>
      <c r="M30" s="13">
        <f t="shared" si="32"/>
        <v>35.331825493940897</v>
      </c>
      <c r="N30" s="13">
        <f t="shared" si="32"/>
        <v>36.382245108887055</v>
      </c>
      <c r="O30" s="13">
        <f t="shared" si="32"/>
        <v>37.268552291733982</v>
      </c>
      <c r="P30" s="13">
        <f t="shared" si="32"/>
        <v>38.003983767696063</v>
      </c>
      <c r="Q30" s="13">
        <f t="shared" si="32"/>
        <v>38.613918256159934</v>
      </c>
      <c r="R30" s="13">
        <f t="shared" si="32"/>
        <v>39.128696147783202</v>
      </c>
      <c r="S30" s="13">
        <f t="shared" si="32"/>
        <v>39.580119551452526</v>
      </c>
      <c r="T30" s="14">
        <v>5</v>
      </c>
    </row>
    <row r="31" spans="4:20" x14ac:dyDescent="0.25">
      <c r="E31" s="3">
        <f t="shared" si="28"/>
        <v>1.4</v>
      </c>
      <c r="F31" s="11">
        <f t="shared" si="31"/>
        <v>10</v>
      </c>
      <c r="G31" s="13">
        <f t="shared" ref="G31:S31" si="33">(G4+G6)/(2*$B$2)</f>
        <v>20.20983451228296</v>
      </c>
      <c r="H31" s="13">
        <f t="shared" si="33"/>
        <v>20.505265917031039</v>
      </c>
      <c r="I31" s="13">
        <f t="shared" si="33"/>
        <v>21.01588568153533</v>
      </c>
      <c r="J31" s="13">
        <f t="shared" si="33"/>
        <v>22.004144212147789</v>
      </c>
      <c r="K31" s="13">
        <f t="shared" si="33"/>
        <v>24.141792158070928</v>
      </c>
      <c r="L31" s="13">
        <f t="shared" si="33"/>
        <v>26.286063033283167</v>
      </c>
      <c r="M31" s="13">
        <f t="shared" si="33"/>
        <v>28.178889447291304</v>
      </c>
      <c r="N31" s="13">
        <f t="shared" si="33"/>
        <v>29.774590334528312</v>
      </c>
      <c r="O31" s="13">
        <f t="shared" si="33"/>
        <v>31.089464107056227</v>
      </c>
      <c r="P31" s="13">
        <f t="shared" si="33"/>
        <v>32.16196386897785</v>
      </c>
      <c r="Q31" s="13">
        <f t="shared" si="33"/>
        <v>33.03948989948222</v>
      </c>
      <c r="R31" s="13">
        <f t="shared" si="33"/>
        <v>33.772152420670345</v>
      </c>
      <c r="S31" s="13">
        <f t="shared" si="33"/>
        <v>34.409603621465102</v>
      </c>
      <c r="T31" s="14">
        <v>5</v>
      </c>
    </row>
    <row r="32" spans="4:20" x14ac:dyDescent="0.25">
      <c r="E32" s="3">
        <f t="shared" si="28"/>
        <v>1.2</v>
      </c>
      <c r="F32" s="11">
        <f t="shared" si="31"/>
        <v>10</v>
      </c>
      <c r="G32" s="13">
        <f t="shared" ref="G32:S35" si="34">(G5+G7)/(2*$B$2)</f>
        <v>10.131605266114937</v>
      </c>
      <c r="H32" s="13">
        <f t="shared" si="34"/>
        <v>10.316586559956539</v>
      </c>
      <c r="I32" s="13">
        <f t="shared" si="34"/>
        <v>10.629475074208578</v>
      </c>
      <c r="J32" s="13">
        <f t="shared" si="34"/>
        <v>11.18542808428586</v>
      </c>
      <c r="K32" s="13">
        <f t="shared" si="34"/>
        <v>15.426651081281394</v>
      </c>
      <c r="L32" s="13">
        <f t="shared" si="34"/>
        <v>18.692691792935619</v>
      </c>
      <c r="M32" s="13">
        <f t="shared" si="34"/>
        <v>21.32307915788849</v>
      </c>
      <c r="N32" s="13">
        <f t="shared" si="34"/>
        <v>23.447762932871054</v>
      </c>
      <c r="O32" s="13">
        <f t="shared" si="34"/>
        <v>25.152750216498319</v>
      </c>
      <c r="P32" s="13">
        <f t="shared" si="34"/>
        <v>26.514917965039142</v>
      </c>
      <c r="Q32" s="13">
        <f t="shared" si="34"/>
        <v>27.609925287522191</v>
      </c>
      <c r="R32" s="13">
        <f t="shared" si="34"/>
        <v>28.510820180511949</v>
      </c>
      <c r="S32" s="13">
        <f t="shared" si="34"/>
        <v>29.286142605153842</v>
      </c>
      <c r="T32" s="14">
        <v>5</v>
      </c>
    </row>
    <row r="33" spans="4:38" x14ac:dyDescent="0.25">
      <c r="E33" s="3">
        <f t="shared" si="28"/>
        <v>1</v>
      </c>
      <c r="F33" s="13">
        <f t="shared" ref="F33:J33" si="35">(F6-F7)/$B$2</f>
        <v>10</v>
      </c>
      <c r="G33" s="13">
        <f t="shared" si="35"/>
        <v>10.177116875718506</v>
      </c>
      <c r="H33" s="13">
        <f>(H6-H7)/$B$2</f>
        <v>10.445256980920869</v>
      </c>
      <c r="I33" s="13">
        <f t="shared" si="35"/>
        <v>10.970737949940945</v>
      </c>
      <c r="J33" s="13">
        <f>(J6-J7)/$B$2</f>
        <v>12.178744710920894</v>
      </c>
      <c r="K33" s="13">
        <f t="shared" si="34"/>
        <v>7.6866923964799927</v>
      </c>
      <c r="L33" s="13">
        <f t="shared" si="34"/>
        <v>11.734974079151241</v>
      </c>
      <c r="M33" s="13">
        <f t="shared" si="34"/>
        <v>14.972972694522038</v>
      </c>
      <c r="N33" s="13">
        <f t="shared" si="34"/>
        <v>17.540632316763418</v>
      </c>
      <c r="O33" s="13">
        <f t="shared" si="34"/>
        <v>19.558856167651353</v>
      </c>
      <c r="P33" s="13">
        <f t="shared" si="34"/>
        <v>21.13503279749234</v>
      </c>
      <c r="Q33" s="13">
        <f t="shared" si="34"/>
        <v>22.374473364825718</v>
      </c>
      <c r="R33" s="13">
        <f t="shared" si="34"/>
        <v>23.375060607385077</v>
      </c>
      <c r="S33" s="13">
        <f t="shared" si="34"/>
        <v>24.224146720225221</v>
      </c>
      <c r="T33" s="14">
        <v>5</v>
      </c>
    </row>
    <row r="34" spans="4:38" x14ac:dyDescent="0.25">
      <c r="E34" s="3">
        <f t="shared" si="28"/>
        <v>0.8</v>
      </c>
      <c r="F34" s="12"/>
      <c r="G34" s="12"/>
      <c r="H34" s="12"/>
      <c r="I34" s="12"/>
      <c r="J34" s="12"/>
      <c r="K34" s="13">
        <f>(K7-K8)/$B$2</f>
        <v>6.6371159657029049</v>
      </c>
      <c r="L34" s="13">
        <f t="shared" si="34"/>
        <v>5.587539571888116</v>
      </c>
      <c r="M34" s="13">
        <f t="shared" si="34"/>
        <v>9.2932054453868549</v>
      </c>
      <c r="N34" s="13">
        <f t="shared" si="34"/>
        <v>12.182937743374799</v>
      </c>
      <c r="O34" s="13">
        <f t="shared" si="34"/>
        <v>14.407009654108162</v>
      </c>
      <c r="P34" s="13">
        <f t="shared" ref="P34:S34" si="36">(P7+P9)/(2*$B$2)</f>
        <v>16.091883993558501</v>
      </c>
      <c r="Q34" s="13">
        <f t="shared" si="36"/>
        <v>17.377875041063614</v>
      </c>
      <c r="R34" s="13">
        <f t="shared" si="36"/>
        <v>18.390802360065535</v>
      </c>
      <c r="S34" s="13">
        <f t="shared" si="36"/>
        <v>19.235383776592268</v>
      </c>
      <c r="T34" s="14">
        <v>5</v>
      </c>
    </row>
    <row r="35" spans="4:38" x14ac:dyDescent="0.25">
      <c r="E35" s="3">
        <f t="shared" si="28"/>
        <v>0.60000000000000009</v>
      </c>
      <c r="F35" s="12"/>
      <c r="G35" s="12"/>
      <c r="H35" s="12"/>
      <c r="I35" s="12"/>
      <c r="J35" s="12"/>
      <c r="K35" s="12"/>
      <c r="L35" s="13">
        <f>(L8-L9)/$B$2</f>
        <v>5.0084557299208639</v>
      </c>
      <c r="M35" s="13">
        <f t="shared" si="34"/>
        <v>4.4293719308085562</v>
      </c>
      <c r="N35" s="13">
        <f t="shared" ref="N35:O35" si="37">(N8+N10)/(2*$B$2)</f>
        <v>7.4909037917335537</v>
      </c>
      <c r="O35" s="13">
        <f t="shared" si="37"/>
        <v>9.7943609779092746</v>
      </c>
      <c r="P35" s="13">
        <f t="shared" ref="P35:S35" si="38">(P8+P10)/(2*$B$2)</f>
        <v>11.447618763476383</v>
      </c>
      <c r="Q35" s="13">
        <f t="shared" si="38"/>
        <v>12.654340687885556</v>
      </c>
      <c r="R35" s="13">
        <f t="shared" si="38"/>
        <v>13.574890203023729</v>
      </c>
      <c r="S35" s="13">
        <f t="shared" si="38"/>
        <v>14.326586122796176</v>
      </c>
      <c r="T35" s="14">
        <v>5</v>
      </c>
    </row>
    <row r="36" spans="4:38" x14ac:dyDescent="0.25">
      <c r="E36" s="3">
        <f t="shared" si="28"/>
        <v>0.4</v>
      </c>
      <c r="F36" s="12"/>
      <c r="G36" s="12"/>
      <c r="H36" s="12"/>
      <c r="I36" s="12"/>
      <c r="J36" s="12"/>
      <c r="K36" s="12"/>
      <c r="L36" s="12"/>
      <c r="M36" s="13">
        <f>(M9-M10)/$B$2</f>
        <v>3.993158279835396</v>
      </c>
      <c r="N36" s="13">
        <f t="shared" ref="N36:O36" si="39">(N9+N11)/(2*$B$2)</f>
        <v>3.5569446728639487</v>
      </c>
      <c r="O36" s="13">
        <f t="shared" si="39"/>
        <v>5.8319119149101688</v>
      </c>
      <c r="P36" s="13">
        <f t="shared" ref="P36:S36" si="40">(P9+P11)/(2*$B$2)</f>
        <v>7.2498896125762631</v>
      </c>
      <c r="Q36" s="13">
        <f t="shared" si="40"/>
        <v>8.2169789493271654</v>
      </c>
      <c r="R36" s="13">
        <f t="shared" si="40"/>
        <v>8.9278317908162403</v>
      </c>
      <c r="S36" s="13">
        <f t="shared" si="40"/>
        <v>9.4960705947741726</v>
      </c>
      <c r="T36" s="14">
        <v>5</v>
      </c>
    </row>
    <row r="37" spans="4:38" x14ac:dyDescent="0.25">
      <c r="E37" s="3">
        <f>E38+0.2</f>
        <v>0.2</v>
      </c>
      <c r="F37" s="12"/>
      <c r="G37" s="12"/>
      <c r="H37" s="12"/>
      <c r="I37" s="12"/>
      <c r="J37" s="12"/>
      <c r="K37" s="12"/>
      <c r="L37" s="12"/>
      <c r="M37" s="12"/>
      <c r="N37" s="13">
        <f>(N10-N11)/$B$2</f>
        <v>3.1416985814568066</v>
      </c>
      <c r="O37" s="13">
        <f t="shared" ref="O37:S37" si="41">(O10+O12)/(2*$B$2)</f>
        <v>2.7264525288689261</v>
      </c>
      <c r="P37" s="13">
        <f t="shared" si="41"/>
        <v>3.5030489776345477</v>
      </c>
      <c r="Q37" s="13">
        <f t="shared" si="41"/>
        <v>4.0358538447508279</v>
      </c>
      <c r="R37" s="13">
        <f t="shared" si="41"/>
        <v>4.4233875258612576</v>
      </c>
      <c r="S37" s="13">
        <f t="shared" si="41"/>
        <v>4.7298645224998932</v>
      </c>
      <c r="T37" s="14">
        <v>5</v>
      </c>
    </row>
    <row r="38" spans="4:38" x14ac:dyDescent="0.25">
      <c r="E38" s="3">
        <v>0</v>
      </c>
      <c r="F38" s="11"/>
      <c r="G38" s="12"/>
      <c r="H38" s="12"/>
      <c r="I38" s="12"/>
      <c r="J38" s="12"/>
      <c r="K38" s="12"/>
      <c r="L38" s="12"/>
      <c r="M38" s="12"/>
      <c r="N38" s="12"/>
      <c r="O38" s="13">
        <f>(O11-O12)/$B$2</f>
        <v>2.1832321413793334</v>
      </c>
      <c r="P38" s="13">
        <f t="shared" ref="P38:T38" si="42">(P11-P12)/$B$2</f>
        <v>3.2800235617569942</v>
      </c>
      <c r="Q38" s="13">
        <f t="shared" si="42"/>
        <v>3.9307642264347868</v>
      </c>
      <c r="R38" s="13">
        <f t="shared" si="42"/>
        <v>4.3713257263338043</v>
      </c>
      <c r="S38" s="13">
        <f t="shared" si="42"/>
        <v>4.7077636852258209</v>
      </c>
      <c r="T38" s="13">
        <f t="shared" si="42"/>
        <v>5</v>
      </c>
    </row>
    <row r="39" spans="4:38" x14ac:dyDescent="0.25">
      <c r="F39" s="3">
        <v>0</v>
      </c>
      <c r="G39" s="3">
        <f>F39+0.2</f>
        <v>0.2</v>
      </c>
      <c r="H39" s="3">
        <f t="shared" ref="H39" si="43">G39+0.2</f>
        <v>0.4</v>
      </c>
      <c r="I39" s="3">
        <f t="shared" ref="I39" si="44">H39+0.2</f>
        <v>0.60000000000000009</v>
      </c>
      <c r="J39" s="3">
        <f t="shared" ref="J39" si="45">I39+0.2</f>
        <v>0.8</v>
      </c>
      <c r="K39" s="3">
        <f t="shared" ref="K39" si="46">J39+0.2</f>
        <v>1</v>
      </c>
      <c r="L39" s="3">
        <f t="shared" ref="L39" si="47">K39+0.2</f>
        <v>1.2</v>
      </c>
      <c r="M39" s="3">
        <f t="shared" ref="M39" si="48">L39+0.2</f>
        <v>1.4</v>
      </c>
      <c r="N39" s="3">
        <f t="shared" ref="N39" si="49">M39+0.2</f>
        <v>1.5999999999999999</v>
      </c>
      <c r="O39" s="3">
        <f t="shared" ref="O39" si="50">N39+0.2</f>
        <v>1.7999999999999998</v>
      </c>
      <c r="P39" s="3">
        <f t="shared" ref="P39" si="51">O39+0.2</f>
        <v>1.9999999999999998</v>
      </c>
      <c r="Q39" s="3">
        <f t="shared" ref="Q39" si="52">P39+0.2</f>
        <v>2.1999999999999997</v>
      </c>
      <c r="R39" s="3">
        <f t="shared" ref="R39" si="53">Q39+0.2</f>
        <v>2.4</v>
      </c>
      <c r="S39" s="3">
        <f t="shared" ref="S39" si="54">R39+0.2</f>
        <v>2.6</v>
      </c>
      <c r="T39" s="3">
        <f t="shared" ref="T39" si="55">S39+0.2</f>
        <v>2.8000000000000003</v>
      </c>
      <c r="W39" s="16">
        <v>0</v>
      </c>
      <c r="X39" s="2">
        <v>1</v>
      </c>
      <c r="Y39" s="2">
        <v>2</v>
      </c>
      <c r="Z39" s="2">
        <v>3</v>
      </c>
      <c r="AA39" s="2">
        <v>4</v>
      </c>
      <c r="AB39" s="2">
        <v>5</v>
      </c>
      <c r="AC39" s="2">
        <v>6</v>
      </c>
      <c r="AD39" s="2">
        <v>7</v>
      </c>
      <c r="AE39" s="2">
        <v>8</v>
      </c>
      <c r="AF39" s="2">
        <v>9</v>
      </c>
      <c r="AG39" s="2">
        <v>10</v>
      </c>
      <c r="AH39" s="2">
        <v>11</v>
      </c>
      <c r="AI39" s="2">
        <v>12</v>
      </c>
      <c r="AJ39" s="2">
        <v>13</v>
      </c>
      <c r="AK39" s="2">
        <v>14</v>
      </c>
      <c r="AL39" s="2">
        <v>15</v>
      </c>
    </row>
    <row r="40" spans="4:38" x14ac:dyDescent="0.25">
      <c r="W40" s="2" t="s">
        <v>0</v>
      </c>
      <c r="X40" s="5">
        <f>F2</f>
        <v>10</v>
      </c>
      <c r="Y40" s="5">
        <f t="shared" ref="Y40:AL40" si="56">G2</f>
        <v>10</v>
      </c>
      <c r="Z40" s="5">
        <f t="shared" si="56"/>
        <v>10</v>
      </c>
      <c r="AA40" s="5">
        <f t="shared" si="56"/>
        <v>10</v>
      </c>
      <c r="AB40" s="5">
        <f t="shared" si="56"/>
        <v>10</v>
      </c>
      <c r="AC40" s="5">
        <f t="shared" si="56"/>
        <v>10</v>
      </c>
      <c r="AD40" s="5">
        <f t="shared" si="56"/>
        <v>10</v>
      </c>
      <c r="AE40" s="5">
        <f t="shared" si="56"/>
        <v>10</v>
      </c>
      <c r="AF40" s="5">
        <f t="shared" si="56"/>
        <v>10</v>
      </c>
      <c r="AG40" s="5">
        <f t="shared" si="56"/>
        <v>10</v>
      </c>
      <c r="AH40" s="5">
        <f t="shared" si="56"/>
        <v>10</v>
      </c>
      <c r="AI40" s="5">
        <f t="shared" si="56"/>
        <v>10</v>
      </c>
      <c r="AJ40" s="5">
        <f t="shared" si="56"/>
        <v>10</v>
      </c>
      <c r="AK40" s="5">
        <f t="shared" si="56"/>
        <v>10</v>
      </c>
      <c r="AL40" s="5">
        <f t="shared" si="56"/>
        <v>10</v>
      </c>
    </row>
    <row r="41" spans="4:38" x14ac:dyDescent="0.25">
      <c r="D41" s="15" t="s">
        <v>11</v>
      </c>
      <c r="E41" s="3">
        <f t="shared" ref="E41:E49" si="57">E42+0.2</f>
        <v>1.9999999999999998</v>
      </c>
      <c r="F41" s="11">
        <f>-(G15-F15)/$B$2</f>
        <v>0</v>
      </c>
      <c r="G41" s="11">
        <f>-(H15-F15)/(2*$B$2)</f>
        <v>0</v>
      </c>
      <c r="H41" s="11">
        <f t="shared" ref="H41:S41" si="58">-(I15-G15)/(2*$B$2)</f>
        <v>0</v>
      </c>
      <c r="I41" s="11">
        <f t="shared" si="58"/>
        <v>0</v>
      </c>
      <c r="J41" s="11">
        <f t="shared" si="58"/>
        <v>0</v>
      </c>
      <c r="K41" s="11">
        <f>-(L15-J15)/(2*$B$2)</f>
        <v>0</v>
      </c>
      <c r="L41" s="11">
        <f t="shared" si="58"/>
        <v>0</v>
      </c>
      <c r="M41" s="11">
        <f t="shared" si="58"/>
        <v>0</v>
      </c>
      <c r="N41" s="11">
        <f t="shared" si="58"/>
        <v>0</v>
      </c>
      <c r="O41" s="11">
        <f t="shared" si="58"/>
        <v>0</v>
      </c>
      <c r="P41" s="11">
        <f t="shared" si="58"/>
        <v>0</v>
      </c>
      <c r="Q41" s="11">
        <f t="shared" si="58"/>
        <v>0</v>
      </c>
      <c r="R41" s="11">
        <f t="shared" si="58"/>
        <v>0</v>
      </c>
      <c r="S41" s="11">
        <f t="shared" si="58"/>
        <v>0</v>
      </c>
      <c r="T41" s="11">
        <f>-(T15-S15)/$B$2</f>
        <v>0</v>
      </c>
      <c r="W41" s="2" t="s">
        <v>13</v>
      </c>
      <c r="X41" s="5">
        <f>F13</f>
        <v>0</v>
      </c>
      <c r="Y41" s="5">
        <f t="shared" ref="Y41:AL41" si="59">G13</f>
        <v>0.2</v>
      </c>
      <c r="Z41" s="5">
        <f t="shared" si="59"/>
        <v>0.4</v>
      </c>
      <c r="AA41" s="5">
        <f t="shared" si="59"/>
        <v>0.60000000000000009</v>
      </c>
      <c r="AB41" s="5">
        <f t="shared" si="59"/>
        <v>0.8</v>
      </c>
      <c r="AC41" s="5">
        <f t="shared" si="59"/>
        <v>1</v>
      </c>
      <c r="AD41" s="5">
        <f t="shared" si="59"/>
        <v>1.2</v>
      </c>
      <c r="AE41" s="5">
        <f t="shared" si="59"/>
        <v>1.4</v>
      </c>
      <c r="AF41" s="5">
        <f t="shared" si="59"/>
        <v>1.5999999999999999</v>
      </c>
      <c r="AG41" s="5">
        <f t="shared" si="59"/>
        <v>1.7999999999999998</v>
      </c>
      <c r="AH41" s="5">
        <f t="shared" si="59"/>
        <v>1.9999999999999998</v>
      </c>
      <c r="AI41" s="5">
        <f t="shared" si="59"/>
        <v>2.1999999999999997</v>
      </c>
      <c r="AJ41" s="5">
        <f t="shared" si="59"/>
        <v>2.4</v>
      </c>
      <c r="AK41" s="5">
        <f t="shared" si="59"/>
        <v>2.6</v>
      </c>
      <c r="AL41" s="5">
        <f t="shared" si="59"/>
        <v>2.8000000000000003</v>
      </c>
    </row>
    <row r="42" spans="4:38" x14ac:dyDescent="0.25">
      <c r="E42" s="3">
        <f t="shared" si="57"/>
        <v>1.7999999999999998</v>
      </c>
      <c r="F42" s="11">
        <f t="shared" ref="F42:F46" si="60">-(G16-F16)/$B$2</f>
        <v>-0.14172322318309227</v>
      </c>
      <c r="G42" s="11">
        <f t="shared" ref="G42:S42" si="61">-(H16-F16)/(2*$B$2)</f>
        <v>-0.16217037896549158</v>
      </c>
      <c r="H42" s="11">
        <f t="shared" si="61"/>
        <v>-0.22432088086711932</v>
      </c>
      <c r="I42" s="11">
        <f t="shared" si="61"/>
        <v>-0.32587253011682193</v>
      </c>
      <c r="J42" s="11">
        <f t="shared" si="61"/>
        <v>-0.44703483125754673</v>
      </c>
      <c r="K42" s="11">
        <f t="shared" si="61"/>
        <v>-0.53768376688820396</v>
      </c>
      <c r="L42" s="11">
        <f t="shared" si="61"/>
        <v>-0.56315530372990086</v>
      </c>
      <c r="M42" s="11">
        <f t="shared" si="61"/>
        <v>-0.53474855543102162</v>
      </c>
      <c r="N42" s="11">
        <f t="shared" si="61"/>
        <v>-0.47714324148726561</v>
      </c>
      <c r="O42" s="11">
        <f t="shared" si="61"/>
        <v>-0.4105967183315018</v>
      </c>
      <c r="P42" s="11">
        <f t="shared" si="61"/>
        <v>-0.34775529158746377</v>
      </c>
      <c r="Q42" s="11">
        <f t="shared" si="61"/>
        <v>-0.29543744076837353</v>
      </c>
      <c r="R42" s="11">
        <f t="shared" si="61"/>
        <v>-0.25690080518558034</v>
      </c>
      <c r="S42" s="11">
        <f t="shared" si="61"/>
        <v>-0.23349060949858558</v>
      </c>
      <c r="T42" s="11">
        <f t="shared" ref="T42:T51" si="62">-(T16-S16)/$B$2</f>
        <v>-0.22565606858715448</v>
      </c>
      <c r="W42" s="2" t="s">
        <v>14</v>
      </c>
      <c r="X42" s="5">
        <f>$E$2</f>
        <v>1.9999999999999998</v>
      </c>
      <c r="Y42" s="5">
        <f t="shared" ref="Y42:AL42" si="63">$E$2</f>
        <v>1.9999999999999998</v>
      </c>
      <c r="Z42" s="5">
        <f t="shared" si="63"/>
        <v>1.9999999999999998</v>
      </c>
      <c r="AA42" s="5">
        <f t="shared" si="63"/>
        <v>1.9999999999999998</v>
      </c>
      <c r="AB42" s="5">
        <f t="shared" si="63"/>
        <v>1.9999999999999998</v>
      </c>
      <c r="AC42" s="5">
        <f t="shared" si="63"/>
        <v>1.9999999999999998</v>
      </c>
      <c r="AD42" s="5">
        <f t="shared" si="63"/>
        <v>1.9999999999999998</v>
      </c>
      <c r="AE42" s="5">
        <f t="shared" si="63"/>
        <v>1.9999999999999998</v>
      </c>
      <c r="AF42" s="5">
        <f t="shared" si="63"/>
        <v>1.9999999999999998</v>
      </c>
      <c r="AG42" s="5">
        <f t="shared" si="63"/>
        <v>1.9999999999999998</v>
      </c>
      <c r="AH42" s="5">
        <f t="shared" si="63"/>
        <v>1.9999999999999998</v>
      </c>
      <c r="AI42" s="5">
        <f t="shared" si="63"/>
        <v>1.9999999999999998</v>
      </c>
      <c r="AJ42" s="5">
        <f t="shared" si="63"/>
        <v>1.9999999999999998</v>
      </c>
      <c r="AK42" s="5">
        <f t="shared" si="63"/>
        <v>1.9999999999999998</v>
      </c>
      <c r="AL42" s="5">
        <f t="shared" si="63"/>
        <v>1.9999999999999998</v>
      </c>
    </row>
    <row r="43" spans="4:38" x14ac:dyDescent="0.25">
      <c r="E43" s="3">
        <f t="shared" si="57"/>
        <v>1.5999999999999999</v>
      </c>
      <c r="F43" s="11">
        <f>-(G17-F17)/$B$2</f>
        <v>-0.24255214484941057</v>
      </c>
      <c r="G43" s="11">
        <f t="shared" ref="G43:S43" si="64">-(H17-F17)/(2*$B$2)</f>
        <v>-0.28263742212329301</v>
      </c>
      <c r="H43" s="11">
        <f t="shared" si="64"/>
        <v>-0.40924062698127095</v>
      </c>
      <c r="I43" s="11">
        <f t="shared" si="64"/>
        <v>-0.63213442328832636</v>
      </c>
      <c r="J43" s="11">
        <f t="shared" si="64"/>
        <v>-0.92458304671970026</v>
      </c>
      <c r="K43" s="11">
        <f t="shared" si="64"/>
        <v>-1.1405449525173683</v>
      </c>
      <c r="L43" s="11">
        <f t="shared" si="64"/>
        <v>-1.1801889125885667</v>
      </c>
      <c r="M43" s="11">
        <f t="shared" si="64"/>
        <v>-1.0986956917989321</v>
      </c>
      <c r="N43" s="11">
        <f t="shared" si="64"/>
        <v>-0.9632277006444756</v>
      </c>
      <c r="O43" s="11">
        <f t="shared" si="64"/>
        <v>-0.81748833888849015</v>
      </c>
      <c r="P43" s="11">
        <f t="shared" si="64"/>
        <v>-0.68498699477317349</v>
      </c>
      <c r="Q43" s="11">
        <f t="shared" si="64"/>
        <v>-0.57709364390614803</v>
      </c>
      <c r="R43" s="11">
        <f t="shared" si="64"/>
        <v>-0.49867513828544707</v>
      </c>
      <c r="S43" s="11">
        <f t="shared" si="64"/>
        <v>-0.451405527477442</v>
      </c>
      <c r="T43" s="11">
        <f t="shared" si="62"/>
        <v>-0.43564301516532122</v>
      </c>
      <c r="W43" s="2" t="s">
        <v>10</v>
      </c>
      <c r="X43" s="5">
        <f>F28</f>
        <v>10</v>
      </c>
      <c r="Y43" s="5">
        <f t="shared" ref="Y43:AL43" si="65">G28</f>
        <v>9.8582767743048993</v>
      </c>
      <c r="Z43" s="5">
        <f t="shared" si="65"/>
        <v>9.6756592369132477</v>
      </c>
      <c r="AA43" s="5">
        <f t="shared" si="65"/>
        <v>9.4096350062731116</v>
      </c>
      <c r="AB43" s="5">
        <f t="shared" si="65"/>
        <v>9.0239141692067548</v>
      </c>
      <c r="AC43" s="5">
        <f t="shared" si="65"/>
        <v>8.5155653344107485</v>
      </c>
      <c r="AD43" s="5">
        <f t="shared" si="65"/>
        <v>7.9485466254543446</v>
      </c>
      <c r="AE43" s="5">
        <f t="shared" si="65"/>
        <v>7.3892547169568523</v>
      </c>
      <c r="AF43" s="5">
        <f t="shared" si="65"/>
        <v>6.8790495069462931</v>
      </c>
      <c r="AG43" s="5">
        <f t="shared" si="65"/>
        <v>6.4349682297533484</v>
      </c>
      <c r="AH43" s="5">
        <f t="shared" si="65"/>
        <v>6.0578560709646823</v>
      </c>
      <c r="AI43" s="5">
        <f t="shared" si="65"/>
        <v>5.7394576528168262</v>
      </c>
      <c r="AJ43" s="5">
        <f t="shared" si="65"/>
        <v>5.466981200625094</v>
      </c>
      <c r="AK43" s="5">
        <f t="shared" si="65"/>
        <v>5.225656058540622</v>
      </c>
      <c r="AL43" s="5">
        <f t="shared" si="65"/>
        <v>5</v>
      </c>
    </row>
    <row r="44" spans="4:38" x14ac:dyDescent="0.25">
      <c r="E44" s="3">
        <f t="shared" si="57"/>
        <v>1.4</v>
      </c>
      <c r="F44" s="11">
        <f t="shared" si="60"/>
        <v>-0.26321052795999833</v>
      </c>
      <c r="G44" s="11">
        <f t="shared" ref="G44:S44" si="66">-(H18-F18)/(2*$B$2)</f>
        <v>-0.31658655548623793</v>
      </c>
      <c r="H44" s="11">
        <f t="shared" si="66"/>
        <v>-0.4978698022858552</v>
      </c>
      <c r="I44" s="11">
        <f t="shared" si="66"/>
        <v>-0.86884151664916809</v>
      </c>
      <c r="J44" s="11">
        <f t="shared" si="66"/>
        <v>-1.4786180130410842</v>
      </c>
      <c r="K44" s="11">
        <f t="shared" si="66"/>
        <v>-1.9197241234235962</v>
      </c>
      <c r="L44" s="11">
        <f t="shared" si="66"/>
        <v>-1.9183597399013119</v>
      </c>
      <c r="M44" s="11">
        <f t="shared" si="66"/>
        <v>-1.7166176300466551</v>
      </c>
      <c r="N44" s="11">
        <f t="shared" si="66"/>
        <v>-1.4595835472949514</v>
      </c>
      <c r="O44" s="11">
        <f t="shared" si="66"/>
        <v>-1.2111419404800872</v>
      </c>
      <c r="P44" s="11">
        <f t="shared" si="66"/>
        <v>-0.99761068300190159</v>
      </c>
      <c r="Q44" s="11">
        <f t="shared" si="66"/>
        <v>-0.82927495865456446</v>
      </c>
      <c r="R44" s="11">
        <f t="shared" si="66"/>
        <v>-0.70930051841056718</v>
      </c>
      <c r="S44" s="11">
        <f t="shared" si="66"/>
        <v>-0.637813275259691</v>
      </c>
      <c r="T44" s="11">
        <f t="shared" si="62"/>
        <v>-0.61410486416865862</v>
      </c>
      <c r="W44" s="17" t="s">
        <v>11</v>
      </c>
      <c r="X44" s="5">
        <f>F41</f>
        <v>0</v>
      </c>
      <c r="Y44" s="5">
        <f t="shared" ref="Y44:AL44" si="67">G41</f>
        <v>0</v>
      </c>
      <c r="Z44" s="5">
        <f t="shared" si="67"/>
        <v>0</v>
      </c>
      <c r="AA44" s="5">
        <f t="shared" si="67"/>
        <v>0</v>
      </c>
      <c r="AB44" s="5">
        <f t="shared" si="67"/>
        <v>0</v>
      </c>
      <c r="AC44" s="5">
        <f t="shared" si="67"/>
        <v>0</v>
      </c>
      <c r="AD44" s="5">
        <f t="shared" si="67"/>
        <v>0</v>
      </c>
      <c r="AE44" s="5">
        <f t="shared" si="67"/>
        <v>0</v>
      </c>
      <c r="AF44" s="5">
        <f t="shared" si="67"/>
        <v>0</v>
      </c>
      <c r="AG44" s="5">
        <f t="shared" si="67"/>
        <v>0</v>
      </c>
      <c r="AH44" s="5">
        <f t="shared" si="67"/>
        <v>0</v>
      </c>
      <c r="AI44" s="5">
        <f t="shared" si="67"/>
        <v>0</v>
      </c>
      <c r="AJ44" s="5">
        <f t="shared" si="67"/>
        <v>0</v>
      </c>
      <c r="AK44" s="5">
        <f t="shared" si="67"/>
        <v>0</v>
      </c>
      <c r="AL44" s="5">
        <f t="shared" si="67"/>
        <v>0</v>
      </c>
    </row>
    <row r="45" spans="4:38" x14ac:dyDescent="0.25">
      <c r="E45" s="3">
        <f t="shared" si="57"/>
        <v>1.2</v>
      </c>
      <c r="F45" s="11">
        <f t="shared" si="60"/>
        <v>-0.17711687309761137</v>
      </c>
      <c r="G45" s="11">
        <f t="shared" ref="G45:S45" si="68">-(H19-F19)/(2*$B$2)</f>
        <v>-0.2226284874570128</v>
      </c>
      <c r="H45" s="11">
        <f t="shared" si="68"/>
        <v>-0.39681053325788973</v>
      </c>
      <c r="I45" s="11">
        <f t="shared" si="68"/>
        <v>-0.86674385870201043</v>
      </c>
      <c r="J45" s="11">
        <f t="shared" si="68"/>
        <v>-2.2013234100929902</v>
      </c>
      <c r="K45" s="11">
        <f t="shared" si="68"/>
        <v>-3.1413738415868209</v>
      </c>
      <c r="L45" s="11">
        <f t="shared" si="68"/>
        <v>-2.8569083498987355</v>
      </c>
      <c r="M45" s="11">
        <f t="shared" si="68"/>
        <v>-2.3898315862556108</v>
      </c>
      <c r="N45" s="11">
        <f t="shared" si="68"/>
        <v>-1.9473469455940928</v>
      </c>
      <c r="O45" s="11">
        <f t="shared" si="68"/>
        <v>-1.569885194087457</v>
      </c>
      <c r="P45" s="11">
        <f t="shared" si="68"/>
        <v>-1.2650388099229359</v>
      </c>
      <c r="Q45" s="11">
        <f t="shared" si="68"/>
        <v>-1.0330949343507578</v>
      </c>
      <c r="R45" s="11">
        <f t="shared" si="68"/>
        <v>-0.87143862041824782</v>
      </c>
      <c r="S45" s="11">
        <f t="shared" si="68"/>
        <v>-0.77644209756033034</v>
      </c>
      <c r="T45" s="11">
        <f t="shared" si="62"/>
        <v>-0.74514978853260416</v>
      </c>
      <c r="W45" s="2" t="s">
        <v>12</v>
      </c>
      <c r="X45" s="5">
        <f>F54</f>
        <v>10</v>
      </c>
      <c r="Y45" s="5">
        <f t="shared" ref="Y45:AL45" si="69">G54</f>
        <v>9.8582767743048993</v>
      </c>
      <c r="Z45" s="5">
        <f t="shared" si="69"/>
        <v>9.6756592369132477</v>
      </c>
      <c r="AA45" s="5">
        <f t="shared" si="69"/>
        <v>9.4096350062731116</v>
      </c>
      <c r="AB45" s="5">
        <f t="shared" si="69"/>
        <v>9.0239141692067548</v>
      </c>
      <c r="AC45" s="5">
        <f t="shared" si="69"/>
        <v>8.5155653344107485</v>
      </c>
      <c r="AD45" s="5">
        <f t="shared" si="69"/>
        <v>7.9485466254543446</v>
      </c>
      <c r="AE45" s="5">
        <f t="shared" si="69"/>
        <v>7.3892547169568523</v>
      </c>
      <c r="AF45" s="5">
        <f t="shared" si="69"/>
        <v>6.8790495069462931</v>
      </c>
      <c r="AG45" s="5">
        <f t="shared" si="69"/>
        <v>6.4349682297533484</v>
      </c>
      <c r="AH45" s="5">
        <f t="shared" si="69"/>
        <v>6.0578560709646823</v>
      </c>
      <c r="AI45" s="5">
        <f t="shared" si="69"/>
        <v>5.7394576528168262</v>
      </c>
      <c r="AJ45" s="5">
        <f t="shared" si="69"/>
        <v>5.466981200625094</v>
      </c>
      <c r="AK45" s="5">
        <f t="shared" si="69"/>
        <v>5.225656058540622</v>
      </c>
      <c r="AL45" s="5">
        <f t="shared" si="69"/>
        <v>5</v>
      </c>
    </row>
    <row r="46" spans="4:38" x14ac:dyDescent="0.25">
      <c r="E46" s="3">
        <f t="shared" si="57"/>
        <v>1</v>
      </c>
      <c r="F46" s="11">
        <f>-(G20-F20)/$B$2</f>
        <v>0</v>
      </c>
      <c r="G46" s="11">
        <f t="shared" ref="G46:J46" si="70">-(H20-G20)/$B$2</f>
        <v>0</v>
      </c>
      <c r="H46" s="11">
        <f t="shared" si="70"/>
        <v>0</v>
      </c>
      <c r="I46" s="11">
        <f>-(J20-I20)/$B$2</f>
        <v>0</v>
      </c>
      <c r="J46" s="11">
        <f>-(K20-J20)/$B$2</f>
        <v>-6.6371159454163315</v>
      </c>
      <c r="K46" s="11">
        <f t="shared" ref="G46:S47" si="71">-(L20-J20)/(2*$B$2)</f>
        <v>-5.5875395515061248</v>
      </c>
      <c r="L46" s="11">
        <f t="shared" si="71"/>
        <v>-3.9780683011902194</v>
      </c>
      <c r="M46" s="11">
        <f t="shared" si="71"/>
        <v>-3.0384534807303551</v>
      </c>
      <c r="N46" s="11">
        <f t="shared" si="71"/>
        <v>-2.3700874919520531</v>
      </c>
      <c r="O46" s="11">
        <f t="shared" si="71"/>
        <v>-1.8560130875718261</v>
      </c>
      <c r="P46" s="11">
        <f t="shared" si="71"/>
        <v>-1.4595644008798336</v>
      </c>
      <c r="Q46" s="11">
        <f>-(R20-P20)/(2*$B$2)</f>
        <v>-1.1666272852926673</v>
      </c>
      <c r="R46" s="11">
        <f t="shared" si="71"/>
        <v>-0.96691684263016109</v>
      </c>
      <c r="S46" s="11">
        <f t="shared" si="71"/>
        <v>-0.85136659489902566</v>
      </c>
      <c r="T46" s="11">
        <f t="shared" si="62"/>
        <v>-0.81360998127913309</v>
      </c>
      <c r="W46" s="2" t="s">
        <v>16</v>
      </c>
      <c r="X46" s="2">
        <f>$B$6</f>
        <v>101325</v>
      </c>
      <c r="Y46" s="2">
        <f>(X46+(X45^2)/2)-(Y45^2)/2</f>
        <v>101326.4071895206</v>
      </c>
      <c r="Z46" s="2">
        <f t="shared" ref="Z46" si="72">(Y46+(Y45^2)/2)-(Z45^2)/2</f>
        <v>101328.19080916556</v>
      </c>
      <c r="AA46" s="2">
        <f t="shared" ref="AA46" si="73">(Z46+(Z45^2)/2)-(AA45^2)/2</f>
        <v>101330.72938452435</v>
      </c>
      <c r="AB46" s="2">
        <f t="shared" ref="AB46" si="74">(AA46+(AA45^2)/2)-(AB45^2)/2</f>
        <v>101334.28448653339</v>
      </c>
      <c r="AC46" s="2">
        <f t="shared" ref="AC46" si="75">(AB46+(AB45^2)/2)-(AC45^2)/2</f>
        <v>101338.74257351769</v>
      </c>
      <c r="AD46" s="2">
        <f t="shared" ref="AD46" si="76">(AC46+(AC45^2)/2)-(AD45^2)/2</f>
        <v>101343.41030327149</v>
      </c>
      <c r="AE46" s="2">
        <f t="shared" ref="AE46" si="77">(AD46+(AD45^2)/2)-(AE45^2)/2</f>
        <v>101347.69945736397</v>
      </c>
      <c r="AF46" s="2">
        <f t="shared" ref="AF46" si="78">(AE46+(AE45^2)/2)-(AF45^2)/2</f>
        <v>101351.3393389405</v>
      </c>
      <c r="AG46" s="2">
        <f t="shared" ref="AG46" si="79">(AF46+(AF45^2)/2)-(AG45^2)/2</f>
        <v>101354.29559194103</v>
      </c>
      <c r="AH46" s="2">
        <f t="shared" ref="AH46" si="80">(AG46+(AG45^2)/2)-(AH45^2)/2</f>
        <v>101356.65118991173</v>
      </c>
      <c r="AI46" s="2">
        <f t="shared" ref="AI46" si="81">(AH46+(AH45^2)/2)-(AI45^2)/2</f>
        <v>101358.52931292576</v>
      </c>
      <c r="AJ46" s="2">
        <f t="shared" ref="AJ46" si="82">(AI46+(AI45^2)/2)-(AJ45^2)/2</f>
        <v>101360.05605827601</v>
      </c>
      <c r="AK46" s="2">
        <f t="shared" ref="AK46" si="83">(AJ46+(AJ45^2)/2)-(AK45^2)/2</f>
        <v>101361.34625937892</v>
      </c>
      <c r="AL46" s="2">
        <f t="shared" ref="AL46" si="84">(AK46+(AK45^2)/2)-(AL45^2)/2</f>
        <v>101362.5</v>
      </c>
    </row>
    <row r="47" spans="4:38" x14ac:dyDescent="0.25">
      <c r="E47" s="3">
        <f t="shared" si="57"/>
        <v>0.8</v>
      </c>
      <c r="F47" s="12"/>
      <c r="G47" s="12"/>
      <c r="H47" s="12"/>
      <c r="I47" s="12"/>
      <c r="J47" s="11"/>
      <c r="K47" s="11">
        <f t="shared" ref="J47:K47" si="85">-(L21-K21)/$B$2</f>
        <v>-5.0084557064001389</v>
      </c>
      <c r="L47" s="11">
        <f t="shared" ref="L47:S47" si="86">-(M21-K21)/(2*$B$2)</f>
        <v>-4.429371908335602</v>
      </c>
      <c r="M47" s="11">
        <f t="shared" si="86"/>
        <v>-3.4158266150930627</v>
      </c>
      <c r="N47" s="11">
        <f t="shared" si="86"/>
        <v>-2.6385365037777291</v>
      </c>
      <c r="O47" s="11">
        <f t="shared" si="86"/>
        <v>-2.0245152784801945</v>
      </c>
      <c r="P47" s="11">
        <f t="shared" si="86"/>
        <v>-1.5505783974773069</v>
      </c>
      <c r="Q47" s="11">
        <f t="shared" si="86"/>
        <v>-1.2069329043610877</v>
      </c>
      <c r="R47" s="11">
        <f t="shared" si="86"/>
        <v>-0.97823477729871322</v>
      </c>
      <c r="S47" s="11">
        <f t="shared" si="86"/>
        <v>-0.84849734886558559</v>
      </c>
      <c r="T47" s="11">
        <f t="shared" si="62"/>
        <v>-0.80655682622129632</v>
      </c>
      <c r="W47" s="2" t="s">
        <v>15</v>
      </c>
      <c r="X47" s="5">
        <f>(X46-$B$6)/(($B$4^2)/2)</f>
        <v>0</v>
      </c>
      <c r="Y47" s="5">
        <f t="shared" ref="Y47" si="87">(Y46-$B$6)/(($B$4^2)/2)</f>
        <v>2.8143790411995724E-2</v>
      </c>
      <c r="Z47" s="5">
        <f t="shared" ref="Z47" si="88">(Z46-$B$6)/(($B$4^2)/2)</f>
        <v>6.3816183311282651E-2</v>
      </c>
      <c r="AA47" s="5">
        <f t="shared" ref="AA47" si="89">(AA46-$B$6)/(($B$4^2)/2)</f>
        <v>0.11458769048709655</v>
      </c>
      <c r="AB47" s="5">
        <f t="shared" ref="AB47" si="90">(AB46-$B$6)/(($B$4^2)/2)</f>
        <v>0.18568973066780017</v>
      </c>
      <c r="AC47" s="5">
        <f t="shared" ref="AC47" si="91">(AC46-$B$6)/(($B$4^2)/2)</f>
        <v>0.27485147035389673</v>
      </c>
      <c r="AD47" s="5">
        <f t="shared" ref="AD47" si="92">(AD46-$B$6)/(($B$4^2)/2)</f>
        <v>0.36820606542984025</v>
      </c>
      <c r="AE47" s="5">
        <f t="shared" ref="AE47" si="93">(AE46-$B$6)/(($B$4^2)/2)</f>
        <v>0.45398914727935336</v>
      </c>
      <c r="AF47" s="5">
        <f t="shared" ref="AF47" si="94">(AF46-$B$6)/(($B$4^2)/2)</f>
        <v>0.52678677880991021</v>
      </c>
      <c r="AG47" s="5">
        <f t="shared" ref="AG47" si="95">(AG46-$B$6)/(($B$4^2)/2)</f>
        <v>0.5859118388206116</v>
      </c>
      <c r="AH47" s="5">
        <f t="shared" ref="AH47" si="96">(AH46-$B$6)/(($B$4^2)/2)</f>
        <v>0.63302379823464439</v>
      </c>
      <c r="AI47" s="5">
        <f t="shared" ref="AI47" si="97">(AI46-$B$6)/(($B$4^2)/2)</f>
        <v>0.67058625851524989</v>
      </c>
      <c r="AJ47" s="5">
        <f t="shared" ref="AJ47" si="98">(AJ46-$B$6)/(($B$4^2)/2)</f>
        <v>0.70112116552016235</v>
      </c>
      <c r="AK47" s="5">
        <f t="shared" ref="AK47" si="99">(AK46-$B$6)/(($B$4^2)/2)</f>
        <v>0.72692518757830837</v>
      </c>
      <c r="AL47" s="5">
        <f t="shared" ref="AL47" si="100">(AL46-$B$6)/(($B$4^2)/2)</f>
        <v>0.75</v>
      </c>
    </row>
    <row r="48" spans="4:38" x14ac:dyDescent="0.25">
      <c r="E48" s="3">
        <f t="shared" si="57"/>
        <v>0.60000000000000009</v>
      </c>
      <c r="F48" s="12"/>
      <c r="G48" s="12"/>
      <c r="H48" s="12"/>
      <c r="I48" s="12"/>
      <c r="J48" s="11"/>
      <c r="K48" s="11"/>
      <c r="L48" s="11">
        <f t="shared" ref="J48:L48" si="101">-(M22-L22)/$B$2</f>
        <v>-3.9931582556852718</v>
      </c>
      <c r="M48" s="11">
        <f t="shared" ref="L48:S48" si="102">-(N22-L22)/(2*$B$2)</f>
        <v>-3.5569446513351886</v>
      </c>
      <c r="N48" s="11">
        <f t="shared" si="102"/>
        <v>-2.7437166874018679</v>
      </c>
      <c r="O48" s="11">
        <f t="shared" si="102"/>
        <v>-2.0529331505198734</v>
      </c>
      <c r="P48" s="11">
        <f t="shared" si="102"/>
        <v>-1.5113009926563958</v>
      </c>
      <c r="Q48" s="11">
        <f t="shared" si="102"/>
        <v>-1.1322911052138651</v>
      </c>
      <c r="R48" s="11">
        <f t="shared" si="102"/>
        <v>-0.8905919327893741</v>
      </c>
      <c r="S48" s="11">
        <f t="shared" si="102"/>
        <v>-0.75783109293107276</v>
      </c>
      <c r="T48" s="11">
        <f t="shared" si="62"/>
        <v>-0.71562251861945203</v>
      </c>
    </row>
    <row r="49" spans="4:20" x14ac:dyDescent="0.25">
      <c r="E49" s="3">
        <f t="shared" si="57"/>
        <v>0.4</v>
      </c>
      <c r="F49" s="12"/>
      <c r="G49" s="12"/>
      <c r="H49" s="12"/>
      <c r="I49" s="12"/>
      <c r="J49" s="11"/>
      <c r="K49" s="11"/>
      <c r="L49" s="11"/>
      <c r="M49" s="11">
        <f t="shared" ref="J49:M49" si="103">-(N23-M23)/$B$2</f>
        <v>-3.1416985601510459</v>
      </c>
      <c r="N49" s="11">
        <f t="shared" ref="M49:S49" si="104">-(O23-M23)/(2*$B$2)</f>
        <v>-2.7264525115784246</v>
      </c>
      <c r="O49" s="11">
        <f t="shared" si="104"/>
        <v>-1.9321996767968119</v>
      </c>
      <c r="P49" s="11">
        <f t="shared" si="104"/>
        <v>-1.3094013143460375</v>
      </c>
      <c r="Q49" s="11">
        <f t="shared" si="104"/>
        <v>-0.92033855399943465</v>
      </c>
      <c r="R49" s="11">
        <f t="shared" si="104"/>
        <v>-0.69401068876231098</v>
      </c>
      <c r="S49" s="11">
        <f t="shared" si="104"/>
        <v>-0.57661248912823038</v>
      </c>
      <c r="T49" s="11">
        <f t="shared" si="62"/>
        <v>-0.54027097062645302</v>
      </c>
    </row>
    <row r="50" spans="4:20" x14ac:dyDescent="0.25">
      <c r="E50" s="3">
        <f>E51+0.2</f>
        <v>0.2</v>
      </c>
      <c r="F50" s="12"/>
      <c r="G50" s="12"/>
      <c r="H50" s="12"/>
      <c r="I50" s="12"/>
      <c r="J50" s="11"/>
      <c r="K50" s="11"/>
      <c r="L50" s="11"/>
      <c r="M50" s="11"/>
      <c r="N50" s="11">
        <f t="shared" ref="J50:N50" si="105">-(O24-N24)/$B$2</f>
        <v>-2.1832321265666876</v>
      </c>
      <c r="O50" s="11">
        <f t="shared" ref="N50:S50" si="106">-(P24-N24)/(2*$B$2)</f>
        <v>-1.640011771180242</v>
      </c>
      <c r="P50" s="11">
        <f t="shared" si="106"/>
        <v>-0.87376604007496639</v>
      </c>
      <c r="Q50" s="11">
        <f t="shared" si="106"/>
        <v>-0.54565108458462708</v>
      </c>
      <c r="R50" s="11">
        <f t="shared" si="106"/>
        <v>-0.38849973507921937</v>
      </c>
      <c r="S50" s="11">
        <f t="shared" si="106"/>
        <v>-0.31433714423513087</v>
      </c>
      <c r="T50" s="11">
        <f t="shared" si="62"/>
        <v>-0.29223632312494086</v>
      </c>
    </row>
    <row r="51" spans="4:20" x14ac:dyDescent="0.25">
      <c r="E51" s="3">
        <v>0</v>
      </c>
      <c r="F51" s="11"/>
      <c r="G51" s="12"/>
      <c r="H51" s="12"/>
      <c r="I51" s="12"/>
      <c r="J51" s="12"/>
      <c r="K51" s="12"/>
      <c r="L51" s="12"/>
      <c r="M51" s="11"/>
      <c r="N51" s="11"/>
      <c r="O51" s="11">
        <f>-(P25-O25)/$B$2</f>
        <v>0</v>
      </c>
      <c r="P51" s="11">
        <f t="shared" ref="P51:S51" si="107">-(P25-O25)/$B$2</f>
        <v>0</v>
      </c>
      <c r="Q51" s="11">
        <f t="shared" si="107"/>
        <v>0</v>
      </c>
      <c r="R51" s="11">
        <f t="shared" si="107"/>
        <v>0</v>
      </c>
      <c r="S51" s="11">
        <f t="shared" si="107"/>
        <v>0</v>
      </c>
      <c r="T51" s="11">
        <f>-(T25-S25)/$B$2</f>
        <v>0</v>
      </c>
    </row>
    <row r="52" spans="4:20" x14ac:dyDescent="0.25">
      <c r="F52" s="3">
        <v>0</v>
      </c>
      <c r="G52" s="3">
        <f>F52+0.2</f>
        <v>0.2</v>
      </c>
      <c r="H52" s="3">
        <f t="shared" ref="H52" si="108">G52+0.2</f>
        <v>0.4</v>
      </c>
      <c r="I52" s="3">
        <f t="shared" ref="I52" si="109">H52+0.2</f>
        <v>0.60000000000000009</v>
      </c>
      <c r="J52" s="3">
        <f t="shared" ref="J52" si="110">I52+0.2</f>
        <v>0.8</v>
      </c>
      <c r="K52" s="3">
        <f t="shared" ref="K52" si="111">J52+0.2</f>
        <v>1</v>
      </c>
      <c r="L52" s="3">
        <f t="shared" ref="L52" si="112">K52+0.2</f>
        <v>1.2</v>
      </c>
      <c r="M52" s="3">
        <f t="shared" ref="M52" si="113">L52+0.2</f>
        <v>1.4</v>
      </c>
      <c r="N52" s="3">
        <f t="shared" ref="N52" si="114">M52+0.2</f>
        <v>1.5999999999999999</v>
      </c>
      <c r="O52" s="3">
        <f t="shared" ref="O52" si="115">N52+0.2</f>
        <v>1.7999999999999998</v>
      </c>
      <c r="P52" s="3">
        <f t="shared" ref="P52" si="116">O52+0.2</f>
        <v>1.9999999999999998</v>
      </c>
      <c r="Q52" s="3">
        <f t="shared" ref="Q52" si="117">P52+0.2</f>
        <v>2.1999999999999997</v>
      </c>
      <c r="R52" s="3">
        <f t="shared" ref="R52" si="118">Q52+0.2</f>
        <v>2.4</v>
      </c>
      <c r="S52" s="3">
        <f t="shared" ref="S52" si="119">R52+0.2</f>
        <v>2.6</v>
      </c>
      <c r="T52" s="3">
        <f t="shared" ref="T52" si="120">S52+0.2</f>
        <v>2.8000000000000003</v>
      </c>
    </row>
    <row r="54" spans="4:20" x14ac:dyDescent="0.25">
      <c r="D54" t="s">
        <v>12</v>
      </c>
      <c r="E54" s="3">
        <f t="shared" ref="E54:E62" si="121">E55+0.2</f>
        <v>1.9999999999999998</v>
      </c>
      <c r="F54" s="11">
        <f>(F28^2+F41^2)^0.5</f>
        <v>10</v>
      </c>
      <c r="G54" s="11">
        <f t="shared" ref="G54:T54" si="122">(G28^2+G41^2)^0.5</f>
        <v>9.8582767743048993</v>
      </c>
      <c r="H54" s="11">
        <f t="shared" si="122"/>
        <v>9.6756592369132477</v>
      </c>
      <c r="I54" s="11">
        <f t="shared" si="122"/>
        <v>9.4096350062731116</v>
      </c>
      <c r="J54" s="11">
        <f t="shared" si="122"/>
        <v>9.0239141692067548</v>
      </c>
      <c r="K54" s="11">
        <f t="shared" si="122"/>
        <v>8.5155653344107485</v>
      </c>
      <c r="L54" s="11">
        <f t="shared" si="122"/>
        <v>7.9485466254543446</v>
      </c>
      <c r="M54" s="11">
        <f t="shared" si="122"/>
        <v>7.3892547169568523</v>
      </c>
      <c r="N54" s="11">
        <f t="shared" si="122"/>
        <v>6.8790495069462931</v>
      </c>
      <c r="O54" s="11">
        <f t="shared" si="122"/>
        <v>6.4349682297533484</v>
      </c>
      <c r="P54" s="11">
        <f t="shared" si="122"/>
        <v>6.0578560709646823</v>
      </c>
      <c r="Q54" s="11">
        <f t="shared" si="122"/>
        <v>5.7394576528168262</v>
      </c>
      <c r="R54" s="11">
        <f t="shared" si="122"/>
        <v>5.466981200625094</v>
      </c>
      <c r="S54" s="11">
        <f t="shared" si="122"/>
        <v>5.225656058540622</v>
      </c>
      <c r="T54" s="11">
        <f t="shared" si="122"/>
        <v>5</v>
      </c>
    </row>
    <row r="55" spans="4:20" x14ac:dyDescent="0.25">
      <c r="E55" s="3">
        <f t="shared" si="121"/>
        <v>1.7999999999999998</v>
      </c>
      <c r="F55" s="11">
        <f t="shared" ref="F55:T55" si="123">(F29^2+F42^2)^0.5</f>
        <v>10.001004223176261</v>
      </c>
      <c r="G55" s="11">
        <f t="shared" si="123"/>
        <v>40.121603819786898</v>
      </c>
      <c r="H55" s="11">
        <f t="shared" si="123"/>
        <v>40.28326200667145</v>
      </c>
      <c r="I55" s="11">
        <f t="shared" si="123"/>
        <v>40.531826721812294</v>
      </c>
      <c r="J55" s="11">
        <f t="shared" si="123"/>
        <v>40.917213935275853</v>
      </c>
      <c r="K55" s="11">
        <f t="shared" si="123"/>
        <v>41.45858656631497</v>
      </c>
      <c r="L55" s="11">
        <f t="shared" si="123"/>
        <v>42.059087206575839</v>
      </c>
      <c r="M55" s="11">
        <f t="shared" si="123"/>
        <v>42.638642065027753</v>
      </c>
      <c r="N55" s="11">
        <f t="shared" si="123"/>
        <v>43.156650265550709</v>
      </c>
      <c r="O55" s="11">
        <f t="shared" si="123"/>
        <v>43.600449779086354</v>
      </c>
      <c r="P55" s="11">
        <f t="shared" si="123"/>
        <v>43.972875973590426</v>
      </c>
      <c r="Q55" s="11">
        <f t="shared" si="123"/>
        <v>44.284488872428625</v>
      </c>
      <c r="R55" s="11">
        <f t="shared" si="123"/>
        <v>44.549335226219206</v>
      </c>
      <c r="S55" s="11">
        <f t="shared" si="123"/>
        <v>44.782787197852826</v>
      </c>
      <c r="T55" s="11">
        <f t="shared" si="123"/>
        <v>5.0050894758525759</v>
      </c>
    </row>
    <row r="56" spans="4:20" x14ac:dyDescent="0.25">
      <c r="E56" s="3">
        <f t="shared" si="121"/>
        <v>1.5999999999999999</v>
      </c>
      <c r="F56" s="11">
        <f t="shared" ref="F56:T56" si="124">(F30^2+F43^2)^0.5</f>
        <v>10.002941144631965</v>
      </c>
      <c r="G56" s="11">
        <f t="shared" si="124"/>
        <v>30.20378932331522</v>
      </c>
      <c r="H56" s="11">
        <f t="shared" si="124"/>
        <v>30.48150427045557</v>
      </c>
      <c r="I56" s="11">
        <f t="shared" si="124"/>
        <v>30.931117661946335</v>
      </c>
      <c r="J56" s="11">
        <f t="shared" si="124"/>
        <v>31.686962918178335</v>
      </c>
      <c r="K56" s="11">
        <f t="shared" si="124"/>
        <v>32.870104018949107</v>
      </c>
      <c r="L56" s="11">
        <f t="shared" si="124"/>
        <v>34.151277295641847</v>
      </c>
      <c r="M56" s="11">
        <f t="shared" si="124"/>
        <v>35.348904154973027</v>
      </c>
      <c r="N56" s="11">
        <f t="shared" si="124"/>
        <v>36.394993704717479</v>
      </c>
      <c r="O56" s="11">
        <f t="shared" si="124"/>
        <v>37.277517045880735</v>
      </c>
      <c r="P56" s="11">
        <f t="shared" si="124"/>
        <v>38.010156397972295</v>
      </c>
      <c r="Q56" s="11">
        <f t="shared" si="124"/>
        <v>38.618230412167236</v>
      </c>
      <c r="R56" s="11">
        <f t="shared" si="124"/>
        <v>39.131873698036593</v>
      </c>
      <c r="S56" s="11">
        <f t="shared" si="124"/>
        <v>39.58269357506525</v>
      </c>
      <c r="T56" s="11">
        <f t="shared" si="124"/>
        <v>5.0189426014512595</v>
      </c>
    </row>
    <row r="57" spans="4:20" x14ac:dyDescent="0.25">
      <c r="E57" s="3">
        <f t="shared" si="121"/>
        <v>1.4</v>
      </c>
      <c r="F57" s="11">
        <f t="shared" ref="F57:T57" si="125">(F31^2+F44^2)^0.5</f>
        <v>10.003463389348161</v>
      </c>
      <c r="G57" s="11">
        <f t="shared" si="125"/>
        <v>20.212314020442541</v>
      </c>
      <c r="H57" s="11">
        <f t="shared" si="125"/>
        <v>20.511309189522326</v>
      </c>
      <c r="I57" s="11">
        <f t="shared" si="125"/>
        <v>21.033837894222131</v>
      </c>
      <c r="J57" s="11">
        <f t="shared" si="125"/>
        <v>22.053767790050902</v>
      </c>
      <c r="K57" s="11">
        <f t="shared" si="125"/>
        <v>24.217998870954414</v>
      </c>
      <c r="L57" s="11">
        <f t="shared" si="125"/>
        <v>26.355971123853699</v>
      </c>
      <c r="M57" s="11">
        <f t="shared" si="125"/>
        <v>28.231127971982492</v>
      </c>
      <c r="N57" s="11">
        <f t="shared" si="125"/>
        <v>29.810344072494718</v>
      </c>
      <c r="O57" s="11">
        <f t="shared" si="125"/>
        <v>31.113046190688678</v>
      </c>
      <c r="P57" s="11">
        <f t="shared" si="125"/>
        <v>32.177432262134843</v>
      </c>
      <c r="Q57" s="11">
        <f t="shared" si="125"/>
        <v>33.049895457853403</v>
      </c>
      <c r="R57" s="11">
        <f t="shared" si="125"/>
        <v>33.779600150836707</v>
      </c>
      <c r="S57" s="11">
        <f t="shared" si="125"/>
        <v>34.415514338165018</v>
      </c>
      <c r="T57" s="11">
        <f t="shared" si="125"/>
        <v>5.0375713180257415</v>
      </c>
    </row>
    <row r="58" spans="4:20" x14ac:dyDescent="0.25">
      <c r="E58" s="3">
        <f t="shared" si="121"/>
        <v>1.2</v>
      </c>
      <c r="F58" s="11">
        <f t="shared" ref="F58:T58" si="126">(F32^2+F45^2)^0.5</f>
        <v>10.001568396343439</v>
      </c>
      <c r="G58" s="11">
        <f t="shared" si="126"/>
        <v>10.13405095269386</v>
      </c>
      <c r="H58" s="11">
        <f t="shared" si="126"/>
        <v>10.324215071780532</v>
      </c>
      <c r="I58" s="11">
        <f t="shared" si="126"/>
        <v>10.664754346435698</v>
      </c>
      <c r="J58" s="11">
        <f t="shared" si="126"/>
        <v>11.399983604573924</v>
      </c>
      <c r="K58" s="11">
        <f t="shared" si="126"/>
        <v>15.743245954891462</v>
      </c>
      <c r="L58" s="11">
        <f t="shared" si="126"/>
        <v>18.909750177762891</v>
      </c>
      <c r="M58" s="11">
        <f t="shared" si="126"/>
        <v>21.456584066068007</v>
      </c>
      <c r="N58" s="11">
        <f t="shared" si="126"/>
        <v>23.528487981224728</v>
      </c>
      <c r="O58" s="11">
        <f t="shared" si="126"/>
        <v>25.2016940497295</v>
      </c>
      <c r="P58" s="11">
        <f t="shared" si="126"/>
        <v>26.545078600060062</v>
      </c>
      <c r="Q58" s="11">
        <f t="shared" si="126"/>
        <v>27.629246452372506</v>
      </c>
      <c r="R58" s="11">
        <f t="shared" si="126"/>
        <v>28.524134914746213</v>
      </c>
      <c r="S58" s="11">
        <f t="shared" si="126"/>
        <v>29.296433418084717</v>
      </c>
      <c r="T58" s="11">
        <f t="shared" si="126"/>
        <v>5.0552198970321935</v>
      </c>
    </row>
    <row r="59" spans="4:20" x14ac:dyDescent="0.25">
      <c r="E59" s="3">
        <f t="shared" si="121"/>
        <v>1</v>
      </c>
      <c r="F59" s="11">
        <f t="shared" ref="F59:T64" si="127">(F33^2+F46^2)^0.5</f>
        <v>10</v>
      </c>
      <c r="G59" s="11">
        <f t="shared" si="127"/>
        <v>10.177116875718506</v>
      </c>
      <c r="H59" s="11">
        <f t="shared" si="127"/>
        <v>10.445256980920869</v>
      </c>
      <c r="I59" s="11">
        <f t="shared" si="127"/>
        <v>10.970737949940945</v>
      </c>
      <c r="J59" s="11">
        <f t="shared" si="127"/>
        <v>13.86986412358403</v>
      </c>
      <c r="K59" s="11">
        <f t="shared" si="127"/>
        <v>9.5029384001869968</v>
      </c>
      <c r="L59" s="11">
        <f t="shared" si="127"/>
        <v>12.390909734449927</v>
      </c>
      <c r="M59" s="11">
        <f t="shared" si="127"/>
        <v>15.278157967028125</v>
      </c>
      <c r="N59" s="11">
        <f t="shared" si="127"/>
        <v>17.700030982780589</v>
      </c>
      <c r="O59" s="11">
        <f t="shared" si="127"/>
        <v>19.646720824812249</v>
      </c>
      <c r="P59" s="11">
        <f t="shared" si="127"/>
        <v>21.185370886330798</v>
      </c>
      <c r="Q59" s="11">
        <f t="shared" si="127"/>
        <v>22.404867274234963</v>
      </c>
      <c r="R59" s="11">
        <f t="shared" si="127"/>
        <v>23.395050471830309</v>
      </c>
      <c r="S59" s="11">
        <f t="shared" si="127"/>
        <v>24.23910290010561</v>
      </c>
      <c r="T59" s="11">
        <f t="shared" si="127"/>
        <v>5.0657636346001214</v>
      </c>
    </row>
    <row r="60" spans="4:20" x14ac:dyDescent="0.25">
      <c r="E60" s="3">
        <f t="shared" si="121"/>
        <v>0.8</v>
      </c>
      <c r="F60" s="12"/>
      <c r="G60" s="12"/>
      <c r="H60" s="12"/>
      <c r="I60" s="12"/>
      <c r="J60" s="2"/>
      <c r="K60" s="11">
        <f t="shared" si="127"/>
        <v>8.3148022769733085</v>
      </c>
      <c r="L60" s="11">
        <f t="shared" si="127"/>
        <v>7.1302127576789882</v>
      </c>
      <c r="M60" s="11">
        <f t="shared" si="127"/>
        <v>9.9010877642078299</v>
      </c>
      <c r="N60" s="11">
        <f t="shared" si="127"/>
        <v>12.46538595233673</v>
      </c>
      <c r="O60" s="11">
        <f t="shared" si="127"/>
        <v>14.548559698003288</v>
      </c>
      <c r="P60" s="11">
        <f t="shared" si="127"/>
        <v>16.166416542600516</v>
      </c>
      <c r="Q60" s="11">
        <f t="shared" si="127"/>
        <v>17.419736736772208</v>
      </c>
      <c r="R60" s="11">
        <f t="shared" si="127"/>
        <v>18.416800881980258</v>
      </c>
      <c r="S60" s="11">
        <f t="shared" si="127"/>
        <v>19.25408883286407</v>
      </c>
      <c r="T60" s="11">
        <f t="shared" si="127"/>
        <v>5.0646356151182461</v>
      </c>
    </row>
    <row r="61" spans="4:20" x14ac:dyDescent="0.25">
      <c r="E61" s="3">
        <f t="shared" si="121"/>
        <v>0.60000000000000009</v>
      </c>
      <c r="F61" s="12"/>
      <c r="G61" s="12"/>
      <c r="H61" s="12"/>
      <c r="I61" s="12"/>
      <c r="J61" s="2"/>
      <c r="K61" s="2"/>
      <c r="L61" s="11">
        <f t="shared" si="127"/>
        <v>6.4054618610623679</v>
      </c>
      <c r="M61" s="11">
        <f t="shared" si="127"/>
        <v>5.6807737988848599</v>
      </c>
      <c r="N61" s="11">
        <f t="shared" si="127"/>
        <v>7.9775698604108518</v>
      </c>
      <c r="O61" s="11">
        <f t="shared" si="127"/>
        <v>10.007199482677228</v>
      </c>
      <c r="P61" s="11">
        <f t="shared" si="127"/>
        <v>11.546947910348464</v>
      </c>
      <c r="Q61" s="11">
        <f t="shared" si="127"/>
        <v>12.704897535675851</v>
      </c>
      <c r="R61" s="11">
        <f t="shared" si="127"/>
        <v>13.604072846574262</v>
      </c>
      <c r="S61" s="11">
        <f t="shared" si="127"/>
        <v>14.346615555569512</v>
      </c>
      <c r="T61" s="11">
        <f t="shared" si="127"/>
        <v>5.0509519488068033</v>
      </c>
    </row>
    <row r="62" spans="4:20" x14ac:dyDescent="0.25">
      <c r="E62" s="3">
        <f t="shared" si="121"/>
        <v>0.4</v>
      </c>
      <c r="F62" s="12"/>
      <c r="G62" s="12"/>
      <c r="H62" s="12"/>
      <c r="I62" s="12"/>
      <c r="J62" s="2"/>
      <c r="K62" s="2"/>
      <c r="L62" s="2"/>
      <c r="M62" s="11">
        <f t="shared" si="127"/>
        <v>5.0809037474324521</v>
      </c>
      <c r="N62" s="11">
        <f t="shared" si="127"/>
        <v>4.4816736498441649</v>
      </c>
      <c r="O62" s="11">
        <f t="shared" si="127"/>
        <v>6.1436627653448639</v>
      </c>
      <c r="P62" s="11">
        <f t="shared" si="127"/>
        <v>7.3671861111656689</v>
      </c>
      <c r="Q62" s="11">
        <f t="shared" si="127"/>
        <v>8.268359335905977</v>
      </c>
      <c r="R62" s="11">
        <f t="shared" si="127"/>
        <v>8.9547658440199012</v>
      </c>
      <c r="S62" s="11">
        <f t="shared" si="127"/>
        <v>9.5135607794113213</v>
      </c>
      <c r="T62" s="11">
        <f t="shared" si="127"/>
        <v>5.0291045646020969</v>
      </c>
    </row>
    <row r="63" spans="4:20" x14ac:dyDescent="0.25">
      <c r="E63" s="3">
        <f>E64+0.2</f>
        <v>0.2</v>
      </c>
      <c r="F63" s="12"/>
      <c r="G63" s="12"/>
      <c r="H63" s="12"/>
      <c r="I63" s="12"/>
      <c r="J63" s="2"/>
      <c r="K63" s="2"/>
      <c r="L63" s="2"/>
      <c r="M63" s="2"/>
      <c r="N63" s="11">
        <f t="shared" si="127"/>
        <v>3.8258035097480647</v>
      </c>
      <c r="O63" s="11">
        <f t="shared" si="127"/>
        <v>3.1816948316558453</v>
      </c>
      <c r="P63" s="11">
        <f t="shared" si="127"/>
        <v>3.6103766053550062</v>
      </c>
      <c r="Q63" s="11">
        <f t="shared" si="127"/>
        <v>4.0725730640834943</v>
      </c>
      <c r="R63" s="11">
        <f t="shared" si="127"/>
        <v>4.4404154364317758</v>
      </c>
      <c r="S63" s="11">
        <f t="shared" si="127"/>
        <v>4.7402981173602408</v>
      </c>
      <c r="T63" s="11">
        <f t="shared" si="127"/>
        <v>5.0085329257731335</v>
      </c>
    </row>
    <row r="64" spans="4:20" x14ac:dyDescent="0.25">
      <c r="E64" s="3">
        <v>0</v>
      </c>
      <c r="F64" s="11"/>
      <c r="G64" s="12"/>
      <c r="H64" s="12"/>
      <c r="I64" s="12"/>
      <c r="J64" s="2"/>
      <c r="K64" s="2"/>
      <c r="L64" s="2"/>
      <c r="M64" s="2"/>
      <c r="N64" s="2"/>
      <c r="O64" s="11">
        <f t="shared" si="127"/>
        <v>2.1832321413793334</v>
      </c>
      <c r="P64" s="11">
        <f t="shared" si="127"/>
        <v>3.2800235617569942</v>
      </c>
      <c r="Q64" s="11">
        <f t="shared" si="127"/>
        <v>3.9307642264347868</v>
      </c>
      <c r="R64" s="11">
        <f t="shared" si="127"/>
        <v>4.3713257263338043</v>
      </c>
      <c r="S64" s="11">
        <f t="shared" si="127"/>
        <v>4.7077636852258209</v>
      </c>
      <c r="T64" s="11">
        <f t="shared" si="127"/>
        <v>5</v>
      </c>
    </row>
    <row r="65" spans="6:20" x14ac:dyDescent="0.25">
      <c r="F65" s="3">
        <v>0</v>
      </c>
      <c r="G65" s="3">
        <f>F65+0.2</f>
        <v>0.2</v>
      </c>
      <c r="H65" s="3">
        <f t="shared" ref="H65" si="128">G65+0.2</f>
        <v>0.4</v>
      </c>
      <c r="I65" s="3">
        <f t="shared" ref="I65" si="129">H65+0.2</f>
        <v>0.60000000000000009</v>
      </c>
      <c r="J65" s="3">
        <f t="shared" ref="J65" si="130">I65+0.2</f>
        <v>0.8</v>
      </c>
      <c r="K65" s="3">
        <f t="shared" ref="K65" si="131">J65+0.2</f>
        <v>1</v>
      </c>
      <c r="L65" s="3">
        <f t="shared" ref="L65" si="132">K65+0.2</f>
        <v>1.2</v>
      </c>
      <c r="M65" s="3">
        <f t="shared" ref="M65" si="133">L65+0.2</f>
        <v>1.4</v>
      </c>
      <c r="N65" s="3">
        <f t="shared" ref="N65" si="134">M65+0.2</f>
        <v>1.5999999999999999</v>
      </c>
      <c r="O65" s="3">
        <f t="shared" ref="O65" si="135">N65+0.2</f>
        <v>1.7999999999999998</v>
      </c>
      <c r="P65" s="3">
        <f t="shared" ref="P65" si="136">O65+0.2</f>
        <v>1.9999999999999998</v>
      </c>
      <c r="Q65" s="3">
        <f t="shared" ref="Q65" si="137">P65+0.2</f>
        <v>2.1999999999999997</v>
      </c>
      <c r="R65" s="3">
        <f t="shared" ref="R65" si="138">Q65+0.2</f>
        <v>2.4</v>
      </c>
      <c r="S65" s="3">
        <f t="shared" ref="S65" si="139">R65+0.2</f>
        <v>2.6</v>
      </c>
      <c r="T65" s="3">
        <f t="shared" ref="T65" si="140">S65+0.2</f>
        <v>2.8000000000000003</v>
      </c>
    </row>
  </sheetData>
  <conditionalFormatting sqref="V23">
    <cfRule type="colorScale" priority="6">
      <colorScale>
        <cfvo type="min"/>
        <cfvo type="percentile" val="50"/>
        <cfvo type="max"/>
        <color theme="8" tint="-0.249977111117893"/>
        <color rgb="FFFFEB84"/>
        <color rgb="FFFF0000"/>
      </colorScale>
    </cfRule>
  </conditionalFormatting>
  <conditionalFormatting sqref="F2:T7 K8:T8 L9:T9 M10:T10 N11:T11 O12:T12">
    <cfRule type="colorScale" priority="5">
      <colorScale>
        <cfvo type="min"/>
        <cfvo type="percentile" val="50"/>
        <cfvo type="max"/>
        <color theme="8" tint="-0.249977111117893"/>
        <color theme="7"/>
        <color rgb="FFFF0000"/>
      </colorScale>
    </cfRule>
  </conditionalFormatting>
  <conditionalFormatting sqref="F15:T2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U28:V28 V29:V38 F38:U38 F28:T37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1:T51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54:T6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2021-11-09T09:29:36Z</dcterms:created>
  <dcterms:modified xsi:type="dcterms:W3CDTF">2021-11-09T11:39:10Z</dcterms:modified>
</cp:coreProperties>
</file>